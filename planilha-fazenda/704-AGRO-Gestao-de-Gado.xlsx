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PESAGENS" sheetId="3" state="visible" r:id="rId3"/>
    <sheet xmlns:r="http://schemas.openxmlformats.org/officeDocument/2006/relationships" name="VENDAS" sheetId="4" state="visible" r:id="rId4"/>
    <sheet xmlns:r="http://schemas.openxmlformats.org/officeDocument/2006/relationships" name="LOTES" sheetId="5" state="visible" r:id="rId5"/>
    <sheet xmlns:r="http://schemas.openxmlformats.org/officeDocument/2006/relationships" name="CAIXA" sheetId="6" state="visible" r:id="rId6"/>
    <sheet xmlns:r="http://schemas.openxmlformats.org/officeDocument/2006/relationships" name="COMO US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kg&quot;"/>
    <numFmt numFmtId="165" formatCode="R$ #,##0.00"/>
    <numFmt numFmtId="166" formatCode="DD/MM/YYYY"/>
    <numFmt numFmtId="167" formatCode="0.0%"/>
    <numFmt numFmtId="168" formatCode="#,##0.00&quot; @&quot;"/>
  </numFmts>
  <fonts count="11">
    <font>
      <name val="Calibri"/>
      <family val="2"/>
      <color theme="1"/>
      <sz val="11"/>
      <scheme val="minor"/>
    </font>
    <font>
      <b val="1"/>
      <color rgb="00F4E4C1"/>
      <sz val="14"/>
    </font>
    <font>
      <b val="1"/>
      <color rgb="008B4513"/>
      <sz val="11"/>
    </font>
    <font>
      <b val="1"/>
      <color rgb="00654321"/>
      <sz val="10"/>
    </font>
    <font>
      <b val="1"/>
      <color rgb="002D1F13"/>
      <sz val="11"/>
    </font>
    <font>
      <b val="1"/>
      <color rgb="002D1F13"/>
      <sz val="14"/>
    </font>
    <font>
      <b val="1"/>
      <color rgb="00166534"/>
      <sz val="14"/>
    </font>
    <font>
      <i val="1"/>
      <color rgb="006B533C"/>
      <sz val="10"/>
    </font>
    <font>
      <b val="1"/>
      <color rgb="008B4513"/>
      <sz val="10"/>
    </font>
    <font>
      <b val="1"/>
      <color rgb="002D1F13"/>
      <sz val="10"/>
    </font>
    <font>
      <color rgb="002D1F13"/>
      <sz val="10"/>
    </font>
  </fonts>
  <fills count="6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4E4C1"/>
      </patternFill>
    </fill>
    <fill>
      <patternFill patternType="solid">
        <fgColor rgb="00D4AF37"/>
      </patternFill>
    </fill>
    <fill>
      <patternFill patternType="solid">
        <fgColor rgb="00FFFDF7"/>
      </patternFill>
    </fill>
  </fills>
  <borders count="2">
    <border>
      <left/>
      <right/>
      <top/>
      <bottom/>
      <diagonal/>
    </border>
    <border>
      <left style="thin">
        <color rgb="00D9CBB2"/>
      </left>
      <right style="thin">
        <color rgb="00D9CBB2"/>
      </right>
      <top style="thin">
        <color rgb="00D9CBB2"/>
      </top>
      <bottom style="thin">
        <color rgb="00D9CBB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3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5" fontId="0" fillId="0" borderId="1" pivotButton="0" quotePrefix="0" xfId="0"/>
    <xf numFmtId="166" fontId="0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167" fontId="0" fillId="5" borderId="1" pivotButton="0" quotePrefix="0" xfId="0"/>
    <xf numFmtId="168" fontId="0" fillId="5" borderId="1" pivotButton="0" quotePrefix="0" xfId="0"/>
    <xf numFmtId="165" fontId="0" fillId="5" borderId="1" pivotButton="0" quotePrefix="0" xfId="0"/>
    <xf numFmtId="49" fontId="0" fillId="0" borderId="1" pivotButton="0" quotePrefix="0" xfId="0"/>
    <xf numFmtId="49" fontId="0" fillId="5" borderId="1" pivotButton="0" quotePrefix="0" xfId="0"/>
    <xf numFmtId="0" fontId="1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dxfs count="3">
    <dxf>
      <font>
        <b val="1"/>
        <color rgb="00B91C1C"/>
        <sz val="14"/>
      </font>
    </dxf>
    <dxf>
      <font>
        <b val="1"/>
        <color rgb="00B91C1C"/>
      </font>
    </dxf>
    <dxf>
      <font>
        <b val="1"/>
        <color rgb="001665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4" customWidth="1" min="4" max="4"/>
    <col width="30" customWidth="1" min="5" max="5"/>
    <col width="20" customWidth="1" min="6" max="6"/>
    <col width="4" customWidth="1" min="7" max="7"/>
    <col width="20" customWidth="1" min="8" max="8"/>
  </cols>
  <sheetData>
    <row r="1" ht="30" customHeight="1">
      <c r="A1" s="1" t="inlineStr">
        <is>
          <t>🐂 704 AGRO — PAINEL DA FAZENDA</t>
        </is>
      </c>
    </row>
    <row r="3">
      <c r="B3" s="2" t="inlineStr">
        <is>
          <t>REBANHO</t>
        </is>
      </c>
      <c r="E3" s="2" t="inlineStr">
        <is>
          <t>DINHEIRO</t>
        </is>
      </c>
    </row>
    <row r="4">
      <c r="B4" s="3" t="inlineStr">
        <is>
          <t>Cabeças compradas</t>
        </is>
      </c>
      <c r="C4" s="4">
        <f>SUM(COMPRAS!E:E)</f>
        <v/>
      </c>
      <c r="E4" s="3" t="inlineStr">
        <is>
          <t>Investido nas compras</t>
        </is>
      </c>
      <c r="F4" s="5">
        <f>SUM(COMPRAS!L:L)</f>
        <v/>
      </c>
    </row>
    <row r="5">
      <c r="B5" s="3" t="inlineStr">
        <is>
          <t>Cabeças vendidas</t>
        </is>
      </c>
      <c r="C5" s="4">
        <f>SUM(VENDAS!D:D)</f>
        <v/>
      </c>
      <c r="E5" s="3" t="inlineStr">
        <is>
          <t>Recebido nas vendas</t>
        </is>
      </c>
      <c r="F5" s="5">
        <f>SUM(VENDAS!K:K)</f>
        <v/>
      </c>
    </row>
    <row r="6">
      <c r="B6" s="3" t="inlineStr">
        <is>
          <t>No pasto agora</t>
        </is>
      </c>
      <c r="C6" s="6">
        <f>C4-C5</f>
        <v/>
      </c>
      <c r="E6" s="3" t="inlineStr">
        <is>
          <t>Resultado</t>
        </is>
      </c>
      <c r="F6" s="7">
        <f>F5-F4</f>
        <v/>
      </c>
    </row>
    <row r="7">
      <c r="B7" s="3" t="inlineStr">
        <is>
          <t>Peso comprado</t>
        </is>
      </c>
      <c r="C7" s="8">
        <f>SUM(COMPRAS!F:F)</f>
        <v/>
      </c>
      <c r="E7" s="3" t="inlineStr">
        <is>
          <t>Saldo em caixa</t>
        </is>
      </c>
      <c r="F7" s="9">
        <f>SUM(CAIXA!F:F)-SUM(CAIXA!G:G)</f>
        <v/>
      </c>
    </row>
    <row r="8">
      <c r="B8" s="3" t="inlineStr">
        <is>
          <t>Peso vendido</t>
        </is>
      </c>
      <c r="C8" s="8">
        <f>SUM(VENDAS!E:E)</f>
        <v/>
      </c>
      <c r="E8" s="3" t="inlineStr">
        <is>
          <t>@ média de compra</t>
        </is>
      </c>
      <c r="F8" s="5">
        <f>IFERROR(SUM(COMPRAS!L:L)/SUM(COMPRAS!H:H),0)</f>
        <v/>
      </c>
    </row>
    <row r="9">
      <c r="B9" s="3" t="inlineStr">
        <is>
          <t>Lotes abertos</t>
        </is>
      </c>
      <c r="C9" s="4">
        <f>COUNTIF(LOTES!L:L,"ABERTO")</f>
        <v/>
      </c>
      <c r="E9" s="3" t="inlineStr">
        <is>
          <t>@ média de venda</t>
        </is>
      </c>
      <c r="F9" s="5">
        <f>IFERROR(SUM(VENDAS!I:I)/SUM(VENDAS!G:G),0)</f>
        <v/>
      </c>
    </row>
    <row r="11">
      <c r="B11" s="2" t="inlineStr">
        <is>
          <t>MARGEM POR ARROBA</t>
        </is>
      </c>
    </row>
    <row r="12">
      <c r="B12" s="3" t="inlineStr">
        <is>
          <t>Ganho por @ (venda − compra)</t>
        </is>
      </c>
      <c r="C12" s="9">
        <f>F9-F8</f>
        <v/>
      </c>
    </row>
    <row r="14" ht="32" customHeight="1">
      <c r="B14" s="10" t="inlineStr">
        <is>
          <t>Os números acima se calculam sozinhos. Você só preenche as abas COMPRAS, VENDAS e CAIXA — e a aba PESAGENS recebe o que vem do aplicativo.</t>
        </is>
      </c>
    </row>
    <row r="16">
      <c r="B16" s="11" t="inlineStr">
        <is>
          <t>THIAGO PORTO 704 AGRO — Compra e venda de bovinos · (77) 99922-6268</t>
        </is>
      </c>
    </row>
  </sheetData>
  <mergeCells count="3">
    <mergeCell ref="B14:H14"/>
    <mergeCell ref="B16:H16"/>
    <mergeCell ref="A1:H1"/>
  </mergeCells>
  <conditionalFormatting sqref="F6">
    <cfRule type="cellIs" priority="1" operator="lessThan" dxfId="0">
      <formula>0</formula>
    </cfRule>
  </conditionalFormatting>
  <conditionalFormatting sqref="C12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0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5" customWidth="1" min="12" max="12"/>
    <col width="30" customWidth="1" min="13" max="13"/>
  </cols>
  <sheetData>
    <row r="1" ht="30" customHeight="1">
      <c r="A1" s="1" t="inlineStr">
        <is>
          <t>📥 COMPRAS — gado que entrou</t>
        </is>
      </c>
    </row>
    <row r="2" ht="30" customHeight="1">
      <c r="A2" s="12" t="inlineStr">
        <is>
          <t>DATA</t>
        </is>
      </c>
      <c r="B2" s="12" t="inlineStr">
        <is>
          <t>LOTE</t>
        </is>
      </c>
      <c r="C2" s="12" t="inlineStr">
        <is>
          <t>FORNECEDOR</t>
        </is>
      </c>
      <c r="D2" s="12" t="inlineStr">
        <is>
          <t>TIPO</t>
        </is>
      </c>
      <c r="E2" s="12" t="inlineStr">
        <is>
          <t>CABEÇAS</t>
        </is>
      </c>
      <c r="F2" s="12" t="inlineStr">
        <is>
          <t>PESO NA BALANÇA</t>
        </is>
      </c>
      <c r="G2" s="12" t="inlineStr">
        <is>
          <t>RENDIMENTO</t>
        </is>
      </c>
      <c r="H2" s="12" t="inlineStr">
        <is>
          <t>ARROBAS</t>
        </is>
      </c>
      <c r="I2" s="12" t="inlineStr">
        <is>
          <t>R$/@</t>
        </is>
      </c>
      <c r="J2" s="12" t="inlineStr">
        <is>
          <t>VALOR DO GADO</t>
        </is>
      </c>
      <c r="K2" s="12" t="inlineStr">
        <is>
          <t>FRETE + COMISSÃO</t>
        </is>
      </c>
      <c r="L2" s="12" t="inlineStr">
        <is>
          <t>CUSTO TOTAL</t>
        </is>
      </c>
      <c r="M2" s="12" t="inlineStr">
        <is>
          <t>OBSERVAÇÃO</t>
        </is>
      </c>
    </row>
    <row r="3">
      <c r="A3" s="13" t="n"/>
      <c r="B3" s="14" t="n"/>
      <c r="C3" s="14" t="n"/>
      <c r="D3" s="14" t="n"/>
      <c r="E3" s="15" t="n"/>
      <c r="F3" s="16" t="n"/>
      <c r="G3" s="17" t="n">
        <v>0.52</v>
      </c>
      <c r="H3" s="18">
        <f>IF(F3="","",F3*G3/15)</f>
        <v/>
      </c>
      <c r="I3" s="19" t="n"/>
      <c r="J3" s="19">
        <f>IF(H3="","",H3*I3)</f>
        <v/>
      </c>
      <c r="K3" s="19" t="n"/>
      <c r="L3" s="19">
        <f>IF(J3="","",J3+N(K3))</f>
        <v/>
      </c>
      <c r="M3" s="14" t="n"/>
    </row>
    <row r="4">
      <c r="A4" s="20" t="n"/>
      <c r="B4" s="21" t="n"/>
      <c r="C4" s="21" t="n"/>
      <c r="D4" s="21" t="n"/>
      <c r="E4" s="22" t="n"/>
      <c r="F4" s="23" t="n"/>
      <c r="G4" s="24" t="n">
        <v>0.52</v>
      </c>
      <c r="H4" s="25">
        <f>IF(F4="","",F4*G4/15)</f>
        <v/>
      </c>
      <c r="I4" s="26" t="n"/>
      <c r="J4" s="26">
        <f>IF(H4="","",H4*I4)</f>
        <v/>
      </c>
      <c r="K4" s="26" t="n"/>
      <c r="L4" s="26">
        <f>IF(J4="","",J4+N(K4))</f>
        <v/>
      </c>
      <c r="M4" s="21" t="n"/>
    </row>
    <row r="5">
      <c r="A5" s="13" t="n"/>
      <c r="B5" s="14" t="n"/>
      <c r="C5" s="14" t="n"/>
      <c r="D5" s="14" t="n"/>
      <c r="E5" s="15" t="n"/>
      <c r="F5" s="16" t="n"/>
      <c r="G5" s="17" t="n">
        <v>0.52</v>
      </c>
      <c r="H5" s="18">
        <f>IF(F5="","",F5*G5/15)</f>
        <v/>
      </c>
      <c r="I5" s="19" t="n"/>
      <c r="J5" s="19">
        <f>IF(H5="","",H5*I5)</f>
        <v/>
      </c>
      <c r="K5" s="19" t="n"/>
      <c r="L5" s="19">
        <f>IF(J5="","",J5+N(K5))</f>
        <v/>
      </c>
      <c r="M5" s="14" t="n"/>
    </row>
    <row r="6">
      <c r="A6" s="20" t="n"/>
      <c r="B6" s="21" t="n"/>
      <c r="C6" s="21" t="n"/>
      <c r="D6" s="21" t="n"/>
      <c r="E6" s="22" t="n"/>
      <c r="F6" s="23" t="n"/>
      <c r="G6" s="24" t="n">
        <v>0.52</v>
      </c>
      <c r="H6" s="25">
        <f>IF(F6="","",F6*G6/15)</f>
        <v/>
      </c>
      <c r="I6" s="26" t="n"/>
      <c r="J6" s="26">
        <f>IF(H6="","",H6*I6)</f>
        <v/>
      </c>
      <c r="K6" s="26" t="n"/>
      <c r="L6" s="26">
        <f>IF(J6="","",J6+N(K6))</f>
        <v/>
      </c>
      <c r="M6" s="21" t="n"/>
    </row>
    <row r="7">
      <c r="A7" s="13" t="n"/>
      <c r="B7" s="14" t="n"/>
      <c r="C7" s="14" t="n"/>
      <c r="D7" s="14" t="n"/>
      <c r="E7" s="15" t="n"/>
      <c r="F7" s="16" t="n"/>
      <c r="G7" s="17" t="n">
        <v>0.52</v>
      </c>
      <c r="H7" s="18">
        <f>IF(F7="","",F7*G7/15)</f>
        <v/>
      </c>
      <c r="I7" s="19" t="n"/>
      <c r="J7" s="19">
        <f>IF(H7="","",H7*I7)</f>
        <v/>
      </c>
      <c r="K7" s="19" t="n"/>
      <c r="L7" s="19">
        <f>IF(J7="","",J7+N(K7))</f>
        <v/>
      </c>
      <c r="M7" s="14" t="n"/>
    </row>
    <row r="8">
      <c r="A8" s="20" t="n"/>
      <c r="B8" s="21" t="n"/>
      <c r="C8" s="21" t="n"/>
      <c r="D8" s="21" t="n"/>
      <c r="E8" s="22" t="n"/>
      <c r="F8" s="23" t="n"/>
      <c r="G8" s="24" t="n">
        <v>0.52</v>
      </c>
      <c r="H8" s="25">
        <f>IF(F8="","",F8*G8/15)</f>
        <v/>
      </c>
      <c r="I8" s="26" t="n"/>
      <c r="J8" s="26">
        <f>IF(H8="","",H8*I8)</f>
        <v/>
      </c>
      <c r="K8" s="26" t="n"/>
      <c r="L8" s="26">
        <f>IF(J8="","",J8+N(K8))</f>
        <v/>
      </c>
      <c r="M8" s="21" t="n"/>
    </row>
    <row r="9">
      <c r="A9" s="13" t="n"/>
      <c r="B9" s="14" t="n"/>
      <c r="C9" s="14" t="n"/>
      <c r="D9" s="14" t="n"/>
      <c r="E9" s="15" t="n"/>
      <c r="F9" s="16" t="n"/>
      <c r="G9" s="17" t="n">
        <v>0.52</v>
      </c>
      <c r="H9" s="18">
        <f>IF(F9="","",F9*G9/15)</f>
        <v/>
      </c>
      <c r="I9" s="19" t="n"/>
      <c r="J9" s="19">
        <f>IF(H9="","",H9*I9)</f>
        <v/>
      </c>
      <c r="K9" s="19" t="n"/>
      <c r="L9" s="19">
        <f>IF(J9="","",J9+N(K9))</f>
        <v/>
      </c>
      <c r="M9" s="14" t="n"/>
    </row>
    <row r="10">
      <c r="A10" s="20" t="n"/>
      <c r="B10" s="21" t="n"/>
      <c r="C10" s="21" t="n"/>
      <c r="D10" s="21" t="n"/>
      <c r="E10" s="22" t="n"/>
      <c r="F10" s="23" t="n"/>
      <c r="G10" s="24" t="n">
        <v>0.52</v>
      </c>
      <c r="H10" s="25">
        <f>IF(F10="","",F10*G10/15)</f>
        <v/>
      </c>
      <c r="I10" s="26" t="n"/>
      <c r="J10" s="26">
        <f>IF(H10="","",H10*I10)</f>
        <v/>
      </c>
      <c r="K10" s="26" t="n"/>
      <c r="L10" s="26">
        <f>IF(J10="","",J10+N(K10))</f>
        <v/>
      </c>
      <c r="M10" s="21" t="n"/>
    </row>
    <row r="11">
      <c r="A11" s="13" t="n"/>
      <c r="B11" s="14" t="n"/>
      <c r="C11" s="14" t="n"/>
      <c r="D11" s="14" t="n"/>
      <c r="E11" s="15" t="n"/>
      <c r="F11" s="16" t="n"/>
      <c r="G11" s="17" t="n">
        <v>0.52</v>
      </c>
      <c r="H11" s="18">
        <f>IF(F11="","",F11*G11/15)</f>
        <v/>
      </c>
      <c r="I11" s="19" t="n"/>
      <c r="J11" s="19">
        <f>IF(H11="","",H11*I11)</f>
        <v/>
      </c>
      <c r="K11" s="19" t="n"/>
      <c r="L11" s="19">
        <f>IF(J11="","",J11+N(K11))</f>
        <v/>
      </c>
      <c r="M11" s="14" t="n"/>
    </row>
    <row r="12">
      <c r="A12" s="20" t="n"/>
      <c r="B12" s="21" t="n"/>
      <c r="C12" s="21" t="n"/>
      <c r="D12" s="21" t="n"/>
      <c r="E12" s="22" t="n"/>
      <c r="F12" s="23" t="n"/>
      <c r="G12" s="24" t="n">
        <v>0.52</v>
      </c>
      <c r="H12" s="25">
        <f>IF(F12="","",F12*G12/15)</f>
        <v/>
      </c>
      <c r="I12" s="26" t="n"/>
      <c r="J12" s="26">
        <f>IF(H12="","",H12*I12)</f>
        <v/>
      </c>
      <c r="K12" s="26" t="n"/>
      <c r="L12" s="26">
        <f>IF(J12="","",J12+N(K12))</f>
        <v/>
      </c>
      <c r="M12" s="21" t="n"/>
    </row>
    <row r="13">
      <c r="A13" s="13" t="n"/>
      <c r="B13" s="14" t="n"/>
      <c r="C13" s="14" t="n"/>
      <c r="D13" s="14" t="n"/>
      <c r="E13" s="15" t="n"/>
      <c r="F13" s="16" t="n"/>
      <c r="G13" s="17" t="n">
        <v>0.52</v>
      </c>
      <c r="H13" s="18">
        <f>IF(F13="","",F13*G13/15)</f>
        <v/>
      </c>
      <c r="I13" s="19" t="n"/>
      <c r="J13" s="19">
        <f>IF(H13="","",H13*I13)</f>
        <v/>
      </c>
      <c r="K13" s="19" t="n"/>
      <c r="L13" s="19">
        <f>IF(J13="","",J13+N(K13))</f>
        <v/>
      </c>
      <c r="M13" s="14" t="n"/>
    </row>
    <row r="14">
      <c r="A14" s="20" t="n"/>
      <c r="B14" s="21" t="n"/>
      <c r="C14" s="21" t="n"/>
      <c r="D14" s="21" t="n"/>
      <c r="E14" s="22" t="n"/>
      <c r="F14" s="23" t="n"/>
      <c r="G14" s="24" t="n">
        <v>0.52</v>
      </c>
      <c r="H14" s="25">
        <f>IF(F14="","",F14*G14/15)</f>
        <v/>
      </c>
      <c r="I14" s="26" t="n"/>
      <c r="J14" s="26">
        <f>IF(H14="","",H14*I14)</f>
        <v/>
      </c>
      <c r="K14" s="26" t="n"/>
      <c r="L14" s="26">
        <f>IF(J14="","",J14+N(K14))</f>
        <v/>
      </c>
      <c r="M14" s="21" t="n"/>
    </row>
    <row r="15">
      <c r="A15" s="13" t="n"/>
      <c r="B15" s="14" t="n"/>
      <c r="C15" s="14" t="n"/>
      <c r="D15" s="14" t="n"/>
      <c r="E15" s="15" t="n"/>
      <c r="F15" s="16" t="n"/>
      <c r="G15" s="17" t="n">
        <v>0.52</v>
      </c>
      <c r="H15" s="18">
        <f>IF(F15="","",F15*G15/15)</f>
        <v/>
      </c>
      <c r="I15" s="19" t="n"/>
      <c r="J15" s="19">
        <f>IF(H15="","",H15*I15)</f>
        <v/>
      </c>
      <c r="K15" s="19" t="n"/>
      <c r="L15" s="19">
        <f>IF(J15="","",J15+N(K15))</f>
        <v/>
      </c>
      <c r="M15" s="14" t="n"/>
    </row>
    <row r="16">
      <c r="A16" s="20" t="n"/>
      <c r="B16" s="21" t="n"/>
      <c r="C16" s="21" t="n"/>
      <c r="D16" s="21" t="n"/>
      <c r="E16" s="22" t="n"/>
      <c r="F16" s="23" t="n"/>
      <c r="G16" s="24" t="n">
        <v>0.52</v>
      </c>
      <c r="H16" s="25">
        <f>IF(F16="","",F16*G16/15)</f>
        <v/>
      </c>
      <c r="I16" s="26" t="n"/>
      <c r="J16" s="26">
        <f>IF(H16="","",H16*I16)</f>
        <v/>
      </c>
      <c r="K16" s="26" t="n"/>
      <c r="L16" s="26">
        <f>IF(J16="","",J16+N(K16))</f>
        <v/>
      </c>
      <c r="M16" s="21" t="n"/>
    </row>
    <row r="17">
      <c r="A17" s="13" t="n"/>
      <c r="B17" s="14" t="n"/>
      <c r="C17" s="14" t="n"/>
      <c r="D17" s="14" t="n"/>
      <c r="E17" s="15" t="n"/>
      <c r="F17" s="16" t="n"/>
      <c r="G17" s="17" t="n">
        <v>0.52</v>
      </c>
      <c r="H17" s="18">
        <f>IF(F17="","",F17*G17/15)</f>
        <v/>
      </c>
      <c r="I17" s="19" t="n"/>
      <c r="J17" s="19">
        <f>IF(H17="","",H17*I17)</f>
        <v/>
      </c>
      <c r="K17" s="19" t="n"/>
      <c r="L17" s="19">
        <f>IF(J17="","",J17+N(K17))</f>
        <v/>
      </c>
      <c r="M17" s="14" t="n"/>
    </row>
    <row r="18">
      <c r="A18" s="20" t="n"/>
      <c r="B18" s="21" t="n"/>
      <c r="C18" s="21" t="n"/>
      <c r="D18" s="21" t="n"/>
      <c r="E18" s="22" t="n"/>
      <c r="F18" s="23" t="n"/>
      <c r="G18" s="24" t="n">
        <v>0.52</v>
      </c>
      <c r="H18" s="25">
        <f>IF(F18="","",F18*G18/15)</f>
        <v/>
      </c>
      <c r="I18" s="26" t="n"/>
      <c r="J18" s="26">
        <f>IF(H18="","",H18*I18)</f>
        <v/>
      </c>
      <c r="K18" s="26" t="n"/>
      <c r="L18" s="26">
        <f>IF(J18="","",J18+N(K18))</f>
        <v/>
      </c>
      <c r="M18" s="21" t="n"/>
    </row>
    <row r="19">
      <c r="A19" s="13" t="n"/>
      <c r="B19" s="14" t="n"/>
      <c r="C19" s="14" t="n"/>
      <c r="D19" s="14" t="n"/>
      <c r="E19" s="15" t="n"/>
      <c r="F19" s="16" t="n"/>
      <c r="G19" s="17" t="n">
        <v>0.52</v>
      </c>
      <c r="H19" s="18">
        <f>IF(F19="","",F19*G19/15)</f>
        <v/>
      </c>
      <c r="I19" s="19" t="n"/>
      <c r="J19" s="19">
        <f>IF(H19="","",H19*I19)</f>
        <v/>
      </c>
      <c r="K19" s="19" t="n"/>
      <c r="L19" s="19">
        <f>IF(J19="","",J19+N(K19))</f>
        <v/>
      </c>
      <c r="M19" s="14" t="n"/>
    </row>
    <row r="20">
      <c r="A20" s="20" t="n"/>
      <c r="B20" s="21" t="n"/>
      <c r="C20" s="21" t="n"/>
      <c r="D20" s="21" t="n"/>
      <c r="E20" s="22" t="n"/>
      <c r="F20" s="23" t="n"/>
      <c r="G20" s="24" t="n">
        <v>0.52</v>
      </c>
      <c r="H20" s="25">
        <f>IF(F20="","",F20*G20/15)</f>
        <v/>
      </c>
      <c r="I20" s="26" t="n"/>
      <c r="J20" s="26">
        <f>IF(H20="","",H20*I20)</f>
        <v/>
      </c>
      <c r="K20" s="26" t="n"/>
      <c r="L20" s="26">
        <f>IF(J20="","",J20+N(K20))</f>
        <v/>
      </c>
      <c r="M20" s="21" t="n"/>
    </row>
    <row r="21">
      <c r="A21" s="13" t="n"/>
      <c r="B21" s="14" t="n"/>
      <c r="C21" s="14" t="n"/>
      <c r="D21" s="14" t="n"/>
      <c r="E21" s="15" t="n"/>
      <c r="F21" s="16" t="n"/>
      <c r="G21" s="17" t="n">
        <v>0.52</v>
      </c>
      <c r="H21" s="18">
        <f>IF(F21="","",F21*G21/15)</f>
        <v/>
      </c>
      <c r="I21" s="19" t="n"/>
      <c r="J21" s="19">
        <f>IF(H21="","",H21*I21)</f>
        <v/>
      </c>
      <c r="K21" s="19" t="n"/>
      <c r="L21" s="19">
        <f>IF(J21="","",J21+N(K21))</f>
        <v/>
      </c>
      <c r="M21" s="14" t="n"/>
    </row>
    <row r="22">
      <c r="A22" s="20" t="n"/>
      <c r="B22" s="21" t="n"/>
      <c r="C22" s="21" t="n"/>
      <c r="D22" s="21" t="n"/>
      <c r="E22" s="22" t="n"/>
      <c r="F22" s="23" t="n"/>
      <c r="G22" s="24" t="n">
        <v>0.52</v>
      </c>
      <c r="H22" s="25">
        <f>IF(F22="","",F22*G22/15)</f>
        <v/>
      </c>
      <c r="I22" s="26" t="n"/>
      <c r="J22" s="26">
        <f>IF(H22="","",H22*I22)</f>
        <v/>
      </c>
      <c r="K22" s="26" t="n"/>
      <c r="L22" s="26">
        <f>IF(J22="","",J22+N(K22))</f>
        <v/>
      </c>
      <c r="M22" s="21" t="n"/>
    </row>
    <row r="23">
      <c r="A23" s="13" t="n"/>
      <c r="B23" s="14" t="n"/>
      <c r="C23" s="14" t="n"/>
      <c r="D23" s="14" t="n"/>
      <c r="E23" s="15" t="n"/>
      <c r="F23" s="16" t="n"/>
      <c r="G23" s="17" t="n">
        <v>0.52</v>
      </c>
      <c r="H23" s="18">
        <f>IF(F23="","",F23*G23/15)</f>
        <v/>
      </c>
      <c r="I23" s="19" t="n"/>
      <c r="J23" s="19">
        <f>IF(H23="","",H23*I23)</f>
        <v/>
      </c>
      <c r="K23" s="19" t="n"/>
      <c r="L23" s="19">
        <f>IF(J23="","",J23+N(K23))</f>
        <v/>
      </c>
      <c r="M23" s="14" t="n"/>
    </row>
    <row r="24">
      <c r="A24" s="20" t="n"/>
      <c r="B24" s="21" t="n"/>
      <c r="C24" s="21" t="n"/>
      <c r="D24" s="21" t="n"/>
      <c r="E24" s="22" t="n"/>
      <c r="F24" s="23" t="n"/>
      <c r="G24" s="24" t="n">
        <v>0.52</v>
      </c>
      <c r="H24" s="25">
        <f>IF(F24="","",F24*G24/15)</f>
        <v/>
      </c>
      <c r="I24" s="26" t="n"/>
      <c r="J24" s="26">
        <f>IF(H24="","",H24*I24)</f>
        <v/>
      </c>
      <c r="K24" s="26" t="n"/>
      <c r="L24" s="26">
        <f>IF(J24="","",J24+N(K24))</f>
        <v/>
      </c>
      <c r="M24" s="21" t="n"/>
    </row>
    <row r="25">
      <c r="A25" s="13" t="n"/>
      <c r="B25" s="14" t="n"/>
      <c r="C25" s="14" t="n"/>
      <c r="D25" s="14" t="n"/>
      <c r="E25" s="15" t="n"/>
      <c r="F25" s="16" t="n"/>
      <c r="G25" s="17" t="n">
        <v>0.52</v>
      </c>
      <c r="H25" s="18">
        <f>IF(F25="","",F25*G25/15)</f>
        <v/>
      </c>
      <c r="I25" s="19" t="n"/>
      <c r="J25" s="19">
        <f>IF(H25="","",H25*I25)</f>
        <v/>
      </c>
      <c r="K25" s="19" t="n"/>
      <c r="L25" s="19">
        <f>IF(J25="","",J25+N(K25))</f>
        <v/>
      </c>
      <c r="M25" s="14" t="n"/>
    </row>
    <row r="26">
      <c r="A26" s="20" t="n"/>
      <c r="B26" s="21" t="n"/>
      <c r="C26" s="21" t="n"/>
      <c r="D26" s="21" t="n"/>
      <c r="E26" s="22" t="n"/>
      <c r="F26" s="23" t="n"/>
      <c r="G26" s="24" t="n">
        <v>0.52</v>
      </c>
      <c r="H26" s="25">
        <f>IF(F26="","",F26*G26/15)</f>
        <v/>
      </c>
      <c r="I26" s="26" t="n"/>
      <c r="J26" s="26">
        <f>IF(H26="","",H26*I26)</f>
        <v/>
      </c>
      <c r="K26" s="26" t="n"/>
      <c r="L26" s="26">
        <f>IF(J26="","",J26+N(K26))</f>
        <v/>
      </c>
      <c r="M26" s="21" t="n"/>
    </row>
    <row r="27">
      <c r="A27" s="13" t="n"/>
      <c r="B27" s="14" t="n"/>
      <c r="C27" s="14" t="n"/>
      <c r="D27" s="14" t="n"/>
      <c r="E27" s="15" t="n"/>
      <c r="F27" s="16" t="n"/>
      <c r="G27" s="17" t="n">
        <v>0.52</v>
      </c>
      <c r="H27" s="18">
        <f>IF(F27="","",F27*G27/15)</f>
        <v/>
      </c>
      <c r="I27" s="19" t="n"/>
      <c r="J27" s="19">
        <f>IF(H27="","",H27*I27)</f>
        <v/>
      </c>
      <c r="K27" s="19" t="n"/>
      <c r="L27" s="19">
        <f>IF(J27="","",J27+N(K27))</f>
        <v/>
      </c>
      <c r="M27" s="14" t="n"/>
    </row>
    <row r="28">
      <c r="A28" s="20" t="n"/>
      <c r="B28" s="21" t="n"/>
      <c r="C28" s="21" t="n"/>
      <c r="D28" s="21" t="n"/>
      <c r="E28" s="22" t="n"/>
      <c r="F28" s="23" t="n"/>
      <c r="G28" s="24" t="n">
        <v>0.52</v>
      </c>
      <c r="H28" s="25">
        <f>IF(F28="","",F28*G28/15)</f>
        <v/>
      </c>
      <c r="I28" s="26" t="n"/>
      <c r="J28" s="26">
        <f>IF(H28="","",H28*I28)</f>
        <v/>
      </c>
      <c r="K28" s="26" t="n"/>
      <c r="L28" s="26">
        <f>IF(J28="","",J28+N(K28))</f>
        <v/>
      </c>
      <c r="M28" s="21" t="n"/>
    </row>
    <row r="29">
      <c r="A29" s="13" t="n"/>
      <c r="B29" s="14" t="n"/>
      <c r="C29" s="14" t="n"/>
      <c r="D29" s="14" t="n"/>
      <c r="E29" s="15" t="n"/>
      <c r="F29" s="16" t="n"/>
      <c r="G29" s="17" t="n">
        <v>0.52</v>
      </c>
      <c r="H29" s="18">
        <f>IF(F29="","",F29*G29/15)</f>
        <v/>
      </c>
      <c r="I29" s="19" t="n"/>
      <c r="J29" s="19">
        <f>IF(H29="","",H29*I29)</f>
        <v/>
      </c>
      <c r="K29" s="19" t="n"/>
      <c r="L29" s="19">
        <f>IF(J29="","",J29+N(K29))</f>
        <v/>
      </c>
      <c r="M29" s="14" t="n"/>
    </row>
    <row r="30">
      <c r="A30" s="20" t="n"/>
      <c r="B30" s="21" t="n"/>
      <c r="C30" s="21" t="n"/>
      <c r="D30" s="21" t="n"/>
      <c r="E30" s="22" t="n"/>
      <c r="F30" s="23" t="n"/>
      <c r="G30" s="24" t="n">
        <v>0.52</v>
      </c>
      <c r="H30" s="25">
        <f>IF(F30="","",F30*G30/15)</f>
        <v/>
      </c>
      <c r="I30" s="26" t="n"/>
      <c r="J30" s="26">
        <f>IF(H30="","",H30*I30)</f>
        <v/>
      </c>
      <c r="K30" s="26" t="n"/>
      <c r="L30" s="26">
        <f>IF(J30="","",J30+N(K30))</f>
        <v/>
      </c>
      <c r="M30" s="21" t="n"/>
    </row>
    <row r="31">
      <c r="A31" s="13" t="n"/>
      <c r="B31" s="14" t="n"/>
      <c r="C31" s="14" t="n"/>
      <c r="D31" s="14" t="n"/>
      <c r="E31" s="15" t="n"/>
      <c r="F31" s="16" t="n"/>
      <c r="G31" s="17" t="n">
        <v>0.52</v>
      </c>
      <c r="H31" s="18">
        <f>IF(F31="","",F31*G31/15)</f>
        <v/>
      </c>
      <c r="I31" s="19" t="n"/>
      <c r="J31" s="19">
        <f>IF(H31="","",H31*I31)</f>
        <v/>
      </c>
      <c r="K31" s="19" t="n"/>
      <c r="L31" s="19">
        <f>IF(J31="","",J31+N(K31))</f>
        <v/>
      </c>
      <c r="M31" s="14" t="n"/>
    </row>
    <row r="32">
      <c r="A32" s="20" t="n"/>
      <c r="B32" s="21" t="n"/>
      <c r="C32" s="21" t="n"/>
      <c r="D32" s="21" t="n"/>
      <c r="E32" s="22" t="n"/>
      <c r="F32" s="23" t="n"/>
      <c r="G32" s="24" t="n">
        <v>0.52</v>
      </c>
      <c r="H32" s="25">
        <f>IF(F32="","",F32*G32/15)</f>
        <v/>
      </c>
      <c r="I32" s="26" t="n"/>
      <c r="J32" s="26">
        <f>IF(H32="","",H32*I32)</f>
        <v/>
      </c>
      <c r="K32" s="26" t="n"/>
      <c r="L32" s="26">
        <f>IF(J32="","",J32+N(K32))</f>
        <v/>
      </c>
      <c r="M32" s="21" t="n"/>
    </row>
    <row r="33">
      <c r="A33" s="13" t="n"/>
      <c r="B33" s="14" t="n"/>
      <c r="C33" s="14" t="n"/>
      <c r="D33" s="14" t="n"/>
      <c r="E33" s="15" t="n"/>
      <c r="F33" s="16" t="n"/>
      <c r="G33" s="17" t="n">
        <v>0.52</v>
      </c>
      <c r="H33" s="18">
        <f>IF(F33="","",F33*G33/15)</f>
        <v/>
      </c>
      <c r="I33" s="19" t="n"/>
      <c r="J33" s="19">
        <f>IF(H33="","",H33*I33)</f>
        <v/>
      </c>
      <c r="K33" s="19" t="n"/>
      <c r="L33" s="19">
        <f>IF(J33="","",J33+N(K33))</f>
        <v/>
      </c>
      <c r="M33" s="14" t="n"/>
    </row>
    <row r="34">
      <c r="A34" s="20" t="n"/>
      <c r="B34" s="21" t="n"/>
      <c r="C34" s="21" t="n"/>
      <c r="D34" s="21" t="n"/>
      <c r="E34" s="22" t="n"/>
      <c r="F34" s="23" t="n"/>
      <c r="G34" s="24" t="n">
        <v>0.52</v>
      </c>
      <c r="H34" s="25">
        <f>IF(F34="","",F34*G34/15)</f>
        <v/>
      </c>
      <c r="I34" s="26" t="n"/>
      <c r="J34" s="26">
        <f>IF(H34="","",H34*I34)</f>
        <v/>
      </c>
      <c r="K34" s="26" t="n"/>
      <c r="L34" s="26">
        <f>IF(J34="","",J34+N(K34))</f>
        <v/>
      </c>
      <c r="M34" s="21" t="n"/>
    </row>
    <row r="35">
      <c r="A35" s="13" t="n"/>
      <c r="B35" s="14" t="n"/>
      <c r="C35" s="14" t="n"/>
      <c r="D35" s="14" t="n"/>
      <c r="E35" s="15" t="n"/>
      <c r="F35" s="16" t="n"/>
      <c r="G35" s="17" t="n">
        <v>0.52</v>
      </c>
      <c r="H35" s="18">
        <f>IF(F35="","",F35*G35/15)</f>
        <v/>
      </c>
      <c r="I35" s="19" t="n"/>
      <c r="J35" s="19">
        <f>IF(H35="","",H35*I35)</f>
        <v/>
      </c>
      <c r="K35" s="19" t="n"/>
      <c r="L35" s="19">
        <f>IF(J35="","",J35+N(K35))</f>
        <v/>
      </c>
      <c r="M35" s="14" t="n"/>
    </row>
    <row r="36">
      <c r="A36" s="20" t="n"/>
      <c r="B36" s="21" t="n"/>
      <c r="C36" s="21" t="n"/>
      <c r="D36" s="21" t="n"/>
      <c r="E36" s="22" t="n"/>
      <c r="F36" s="23" t="n"/>
      <c r="G36" s="24" t="n">
        <v>0.52</v>
      </c>
      <c r="H36" s="25">
        <f>IF(F36="","",F36*G36/15)</f>
        <v/>
      </c>
      <c r="I36" s="26" t="n"/>
      <c r="J36" s="26">
        <f>IF(H36="","",H36*I36)</f>
        <v/>
      </c>
      <c r="K36" s="26" t="n"/>
      <c r="L36" s="26">
        <f>IF(J36="","",J36+N(K36))</f>
        <v/>
      </c>
      <c r="M36" s="21" t="n"/>
    </row>
    <row r="37">
      <c r="A37" s="13" t="n"/>
      <c r="B37" s="14" t="n"/>
      <c r="C37" s="14" t="n"/>
      <c r="D37" s="14" t="n"/>
      <c r="E37" s="15" t="n"/>
      <c r="F37" s="16" t="n"/>
      <c r="G37" s="17" t="n">
        <v>0.52</v>
      </c>
      <c r="H37" s="18">
        <f>IF(F37="","",F37*G37/15)</f>
        <v/>
      </c>
      <c r="I37" s="19" t="n"/>
      <c r="J37" s="19">
        <f>IF(H37="","",H37*I37)</f>
        <v/>
      </c>
      <c r="K37" s="19" t="n"/>
      <c r="L37" s="19">
        <f>IF(J37="","",J37+N(K37))</f>
        <v/>
      </c>
      <c r="M37" s="14" t="n"/>
    </row>
    <row r="38">
      <c r="A38" s="20" t="n"/>
      <c r="B38" s="21" t="n"/>
      <c r="C38" s="21" t="n"/>
      <c r="D38" s="21" t="n"/>
      <c r="E38" s="22" t="n"/>
      <c r="F38" s="23" t="n"/>
      <c r="G38" s="24" t="n">
        <v>0.52</v>
      </c>
      <c r="H38" s="25">
        <f>IF(F38="","",F38*G38/15)</f>
        <v/>
      </c>
      <c r="I38" s="26" t="n"/>
      <c r="J38" s="26">
        <f>IF(H38="","",H38*I38)</f>
        <v/>
      </c>
      <c r="K38" s="26" t="n"/>
      <c r="L38" s="26">
        <f>IF(J38="","",J38+N(K38))</f>
        <v/>
      </c>
      <c r="M38" s="21" t="n"/>
    </row>
    <row r="39">
      <c r="A39" s="13" t="n"/>
      <c r="B39" s="14" t="n"/>
      <c r="C39" s="14" t="n"/>
      <c r="D39" s="14" t="n"/>
      <c r="E39" s="15" t="n"/>
      <c r="F39" s="16" t="n"/>
      <c r="G39" s="17" t="n">
        <v>0.52</v>
      </c>
      <c r="H39" s="18">
        <f>IF(F39="","",F39*G39/15)</f>
        <v/>
      </c>
      <c r="I39" s="19" t="n"/>
      <c r="J39" s="19">
        <f>IF(H39="","",H39*I39)</f>
        <v/>
      </c>
      <c r="K39" s="19" t="n"/>
      <c r="L39" s="19">
        <f>IF(J39="","",J39+N(K39))</f>
        <v/>
      </c>
      <c r="M39" s="14" t="n"/>
    </row>
    <row r="40">
      <c r="A40" s="20" t="n"/>
      <c r="B40" s="21" t="n"/>
      <c r="C40" s="21" t="n"/>
      <c r="D40" s="21" t="n"/>
      <c r="E40" s="22" t="n"/>
      <c r="F40" s="23" t="n"/>
      <c r="G40" s="24" t="n">
        <v>0.52</v>
      </c>
      <c r="H40" s="25">
        <f>IF(F40="","",F40*G40/15)</f>
        <v/>
      </c>
      <c r="I40" s="26" t="n"/>
      <c r="J40" s="26">
        <f>IF(H40="","",H40*I40)</f>
        <v/>
      </c>
      <c r="K40" s="26" t="n"/>
      <c r="L40" s="26">
        <f>IF(J40="","",J40+N(K40))</f>
        <v/>
      </c>
      <c r="M40" s="21" t="n"/>
    </row>
    <row r="41">
      <c r="A41" s="13" t="n"/>
      <c r="B41" s="14" t="n"/>
      <c r="C41" s="14" t="n"/>
      <c r="D41" s="14" t="n"/>
      <c r="E41" s="15" t="n"/>
      <c r="F41" s="16" t="n"/>
      <c r="G41" s="17" t="n">
        <v>0.52</v>
      </c>
      <c r="H41" s="18">
        <f>IF(F41="","",F41*G41/15)</f>
        <v/>
      </c>
      <c r="I41" s="19" t="n"/>
      <c r="J41" s="19">
        <f>IF(H41="","",H41*I41)</f>
        <v/>
      </c>
      <c r="K41" s="19" t="n"/>
      <c r="L41" s="19">
        <f>IF(J41="","",J41+N(K41))</f>
        <v/>
      </c>
      <c r="M41" s="14" t="n"/>
    </row>
    <row r="42">
      <c r="A42" s="20" t="n"/>
      <c r="B42" s="21" t="n"/>
      <c r="C42" s="21" t="n"/>
      <c r="D42" s="21" t="n"/>
      <c r="E42" s="22" t="n"/>
      <c r="F42" s="23" t="n"/>
      <c r="G42" s="24" t="n">
        <v>0.52</v>
      </c>
      <c r="H42" s="25">
        <f>IF(F42="","",F42*G42/15)</f>
        <v/>
      </c>
      <c r="I42" s="26" t="n"/>
      <c r="J42" s="26">
        <f>IF(H42="","",H42*I42)</f>
        <v/>
      </c>
      <c r="K42" s="26" t="n"/>
      <c r="L42" s="26">
        <f>IF(J42="","",J42+N(K42))</f>
        <v/>
      </c>
      <c r="M42" s="21" t="n"/>
    </row>
    <row r="43">
      <c r="A43" s="13" t="n"/>
      <c r="B43" s="14" t="n"/>
      <c r="C43" s="14" t="n"/>
      <c r="D43" s="14" t="n"/>
      <c r="E43" s="15" t="n"/>
      <c r="F43" s="16" t="n"/>
      <c r="G43" s="17" t="n">
        <v>0.52</v>
      </c>
      <c r="H43" s="18">
        <f>IF(F43="","",F43*G43/15)</f>
        <v/>
      </c>
      <c r="I43" s="19" t="n"/>
      <c r="J43" s="19">
        <f>IF(H43="","",H43*I43)</f>
        <v/>
      </c>
      <c r="K43" s="19" t="n"/>
      <c r="L43" s="19">
        <f>IF(J43="","",J43+N(K43))</f>
        <v/>
      </c>
      <c r="M43" s="14" t="n"/>
    </row>
    <row r="44">
      <c r="A44" s="20" t="n"/>
      <c r="B44" s="21" t="n"/>
      <c r="C44" s="21" t="n"/>
      <c r="D44" s="21" t="n"/>
      <c r="E44" s="22" t="n"/>
      <c r="F44" s="23" t="n"/>
      <c r="G44" s="24" t="n">
        <v>0.52</v>
      </c>
      <c r="H44" s="25">
        <f>IF(F44="","",F44*G44/15)</f>
        <v/>
      </c>
      <c r="I44" s="26" t="n"/>
      <c r="J44" s="26">
        <f>IF(H44="","",H44*I44)</f>
        <v/>
      </c>
      <c r="K44" s="26" t="n"/>
      <c r="L44" s="26">
        <f>IF(J44="","",J44+N(K44))</f>
        <v/>
      </c>
      <c r="M44" s="21" t="n"/>
    </row>
    <row r="45">
      <c r="A45" s="13" t="n"/>
      <c r="B45" s="14" t="n"/>
      <c r="C45" s="14" t="n"/>
      <c r="D45" s="14" t="n"/>
      <c r="E45" s="15" t="n"/>
      <c r="F45" s="16" t="n"/>
      <c r="G45" s="17" t="n">
        <v>0.52</v>
      </c>
      <c r="H45" s="18">
        <f>IF(F45="","",F45*G45/15)</f>
        <v/>
      </c>
      <c r="I45" s="19" t="n"/>
      <c r="J45" s="19">
        <f>IF(H45="","",H45*I45)</f>
        <v/>
      </c>
      <c r="K45" s="19" t="n"/>
      <c r="L45" s="19">
        <f>IF(J45="","",J45+N(K45))</f>
        <v/>
      </c>
      <c r="M45" s="14" t="n"/>
    </row>
    <row r="46">
      <c r="A46" s="20" t="n"/>
      <c r="B46" s="21" t="n"/>
      <c r="C46" s="21" t="n"/>
      <c r="D46" s="21" t="n"/>
      <c r="E46" s="22" t="n"/>
      <c r="F46" s="23" t="n"/>
      <c r="G46" s="24" t="n">
        <v>0.52</v>
      </c>
      <c r="H46" s="25">
        <f>IF(F46="","",F46*G46/15)</f>
        <v/>
      </c>
      <c r="I46" s="26" t="n"/>
      <c r="J46" s="26">
        <f>IF(H46="","",H46*I46)</f>
        <v/>
      </c>
      <c r="K46" s="26" t="n"/>
      <c r="L46" s="26">
        <f>IF(J46="","",J46+N(K46))</f>
        <v/>
      </c>
      <c r="M46" s="21" t="n"/>
    </row>
    <row r="47">
      <c r="A47" s="13" t="n"/>
      <c r="B47" s="14" t="n"/>
      <c r="C47" s="14" t="n"/>
      <c r="D47" s="14" t="n"/>
      <c r="E47" s="15" t="n"/>
      <c r="F47" s="16" t="n"/>
      <c r="G47" s="17" t="n">
        <v>0.52</v>
      </c>
      <c r="H47" s="18">
        <f>IF(F47="","",F47*G47/15)</f>
        <v/>
      </c>
      <c r="I47" s="19" t="n"/>
      <c r="J47" s="19">
        <f>IF(H47="","",H47*I47)</f>
        <v/>
      </c>
      <c r="K47" s="19" t="n"/>
      <c r="L47" s="19">
        <f>IF(J47="","",J47+N(K47))</f>
        <v/>
      </c>
      <c r="M47" s="14" t="n"/>
    </row>
    <row r="48">
      <c r="A48" s="20" t="n"/>
      <c r="B48" s="21" t="n"/>
      <c r="C48" s="21" t="n"/>
      <c r="D48" s="21" t="n"/>
      <c r="E48" s="22" t="n"/>
      <c r="F48" s="23" t="n"/>
      <c r="G48" s="24" t="n">
        <v>0.52</v>
      </c>
      <c r="H48" s="25">
        <f>IF(F48="","",F48*G48/15)</f>
        <v/>
      </c>
      <c r="I48" s="26" t="n"/>
      <c r="J48" s="26">
        <f>IF(H48="","",H48*I48)</f>
        <v/>
      </c>
      <c r="K48" s="26" t="n"/>
      <c r="L48" s="26">
        <f>IF(J48="","",J48+N(K48))</f>
        <v/>
      </c>
      <c r="M48" s="21" t="n"/>
    </row>
    <row r="49">
      <c r="A49" s="13" t="n"/>
      <c r="B49" s="14" t="n"/>
      <c r="C49" s="14" t="n"/>
      <c r="D49" s="14" t="n"/>
      <c r="E49" s="15" t="n"/>
      <c r="F49" s="16" t="n"/>
      <c r="G49" s="17" t="n">
        <v>0.52</v>
      </c>
      <c r="H49" s="18">
        <f>IF(F49="","",F49*G49/15)</f>
        <v/>
      </c>
      <c r="I49" s="19" t="n"/>
      <c r="J49" s="19">
        <f>IF(H49="","",H49*I49)</f>
        <v/>
      </c>
      <c r="K49" s="19" t="n"/>
      <c r="L49" s="19">
        <f>IF(J49="","",J49+N(K49))</f>
        <v/>
      </c>
      <c r="M49" s="14" t="n"/>
    </row>
    <row r="50">
      <c r="A50" s="20" t="n"/>
      <c r="B50" s="21" t="n"/>
      <c r="C50" s="21" t="n"/>
      <c r="D50" s="21" t="n"/>
      <c r="E50" s="22" t="n"/>
      <c r="F50" s="23" t="n"/>
      <c r="G50" s="24" t="n">
        <v>0.52</v>
      </c>
      <c r="H50" s="25">
        <f>IF(F50="","",F50*G50/15)</f>
        <v/>
      </c>
      <c r="I50" s="26" t="n"/>
      <c r="J50" s="26">
        <f>IF(H50="","",H50*I50)</f>
        <v/>
      </c>
      <c r="K50" s="26" t="n"/>
      <c r="L50" s="26">
        <f>IF(J50="","",J50+N(K50))</f>
        <v/>
      </c>
      <c r="M50" s="21" t="n"/>
    </row>
    <row r="51">
      <c r="A51" s="13" t="n"/>
      <c r="B51" s="14" t="n"/>
      <c r="C51" s="14" t="n"/>
      <c r="D51" s="14" t="n"/>
      <c r="E51" s="15" t="n"/>
      <c r="F51" s="16" t="n"/>
      <c r="G51" s="17" t="n">
        <v>0.52</v>
      </c>
      <c r="H51" s="18">
        <f>IF(F51="","",F51*G51/15)</f>
        <v/>
      </c>
      <c r="I51" s="19" t="n"/>
      <c r="J51" s="19">
        <f>IF(H51="","",H51*I51)</f>
        <v/>
      </c>
      <c r="K51" s="19" t="n"/>
      <c r="L51" s="19">
        <f>IF(J51="","",J51+N(K51))</f>
        <v/>
      </c>
      <c r="M51" s="14" t="n"/>
    </row>
    <row r="52">
      <c r="A52" s="20" t="n"/>
      <c r="B52" s="21" t="n"/>
      <c r="C52" s="21" t="n"/>
      <c r="D52" s="21" t="n"/>
      <c r="E52" s="22" t="n"/>
      <c r="F52" s="23" t="n"/>
      <c r="G52" s="24" t="n">
        <v>0.52</v>
      </c>
      <c r="H52" s="25">
        <f>IF(F52="","",F52*G52/15)</f>
        <v/>
      </c>
      <c r="I52" s="26" t="n"/>
      <c r="J52" s="26">
        <f>IF(H52="","",H52*I52)</f>
        <v/>
      </c>
      <c r="K52" s="26" t="n"/>
      <c r="L52" s="26">
        <f>IF(J52="","",J52+N(K52))</f>
        <v/>
      </c>
      <c r="M52" s="21" t="n"/>
    </row>
    <row r="53">
      <c r="A53" s="13" t="n"/>
      <c r="B53" s="14" t="n"/>
      <c r="C53" s="14" t="n"/>
      <c r="D53" s="14" t="n"/>
      <c r="E53" s="15" t="n"/>
      <c r="F53" s="16" t="n"/>
      <c r="G53" s="17" t="n">
        <v>0.52</v>
      </c>
      <c r="H53" s="18">
        <f>IF(F53="","",F53*G53/15)</f>
        <v/>
      </c>
      <c r="I53" s="19" t="n"/>
      <c r="J53" s="19">
        <f>IF(H53="","",H53*I53)</f>
        <v/>
      </c>
      <c r="K53" s="19" t="n"/>
      <c r="L53" s="19">
        <f>IF(J53="","",J53+N(K53))</f>
        <v/>
      </c>
      <c r="M53" s="14" t="n"/>
    </row>
    <row r="54">
      <c r="A54" s="20" t="n"/>
      <c r="B54" s="21" t="n"/>
      <c r="C54" s="21" t="n"/>
      <c r="D54" s="21" t="n"/>
      <c r="E54" s="22" t="n"/>
      <c r="F54" s="23" t="n"/>
      <c r="G54" s="24" t="n">
        <v>0.52</v>
      </c>
      <c r="H54" s="25">
        <f>IF(F54="","",F54*G54/15)</f>
        <v/>
      </c>
      <c r="I54" s="26" t="n"/>
      <c r="J54" s="26">
        <f>IF(H54="","",H54*I54)</f>
        <v/>
      </c>
      <c r="K54" s="26" t="n"/>
      <c r="L54" s="26">
        <f>IF(J54="","",J54+N(K54))</f>
        <v/>
      </c>
      <c r="M54" s="21" t="n"/>
    </row>
    <row r="55">
      <c r="A55" s="13" t="n"/>
      <c r="B55" s="14" t="n"/>
      <c r="C55" s="14" t="n"/>
      <c r="D55" s="14" t="n"/>
      <c r="E55" s="15" t="n"/>
      <c r="F55" s="16" t="n"/>
      <c r="G55" s="17" t="n">
        <v>0.52</v>
      </c>
      <c r="H55" s="18">
        <f>IF(F55="","",F55*G55/15)</f>
        <v/>
      </c>
      <c r="I55" s="19" t="n"/>
      <c r="J55" s="19">
        <f>IF(H55="","",H55*I55)</f>
        <v/>
      </c>
      <c r="K55" s="19" t="n"/>
      <c r="L55" s="19">
        <f>IF(J55="","",J55+N(K55))</f>
        <v/>
      </c>
      <c r="M55" s="14" t="n"/>
    </row>
    <row r="56">
      <c r="A56" s="20" t="n"/>
      <c r="B56" s="21" t="n"/>
      <c r="C56" s="21" t="n"/>
      <c r="D56" s="21" t="n"/>
      <c r="E56" s="22" t="n"/>
      <c r="F56" s="23" t="n"/>
      <c r="G56" s="24" t="n">
        <v>0.52</v>
      </c>
      <c r="H56" s="25">
        <f>IF(F56="","",F56*G56/15)</f>
        <v/>
      </c>
      <c r="I56" s="26" t="n"/>
      <c r="J56" s="26">
        <f>IF(H56="","",H56*I56)</f>
        <v/>
      </c>
      <c r="K56" s="26" t="n"/>
      <c r="L56" s="26">
        <f>IF(J56="","",J56+N(K56))</f>
        <v/>
      </c>
      <c r="M56" s="21" t="n"/>
    </row>
    <row r="57">
      <c r="A57" s="13" t="n"/>
      <c r="B57" s="14" t="n"/>
      <c r="C57" s="14" t="n"/>
      <c r="D57" s="14" t="n"/>
      <c r="E57" s="15" t="n"/>
      <c r="F57" s="16" t="n"/>
      <c r="G57" s="17" t="n">
        <v>0.52</v>
      </c>
      <c r="H57" s="18">
        <f>IF(F57="","",F57*G57/15)</f>
        <v/>
      </c>
      <c r="I57" s="19" t="n"/>
      <c r="J57" s="19">
        <f>IF(H57="","",H57*I57)</f>
        <v/>
      </c>
      <c r="K57" s="19" t="n"/>
      <c r="L57" s="19">
        <f>IF(J57="","",J57+N(K57))</f>
        <v/>
      </c>
      <c r="M57" s="14" t="n"/>
    </row>
    <row r="58">
      <c r="A58" s="20" t="n"/>
      <c r="B58" s="21" t="n"/>
      <c r="C58" s="21" t="n"/>
      <c r="D58" s="21" t="n"/>
      <c r="E58" s="22" t="n"/>
      <c r="F58" s="23" t="n"/>
      <c r="G58" s="24" t="n">
        <v>0.52</v>
      </c>
      <c r="H58" s="25">
        <f>IF(F58="","",F58*G58/15)</f>
        <v/>
      </c>
      <c r="I58" s="26" t="n"/>
      <c r="J58" s="26">
        <f>IF(H58="","",H58*I58)</f>
        <v/>
      </c>
      <c r="K58" s="26" t="n"/>
      <c r="L58" s="26">
        <f>IF(J58="","",J58+N(K58))</f>
        <v/>
      </c>
      <c r="M58" s="21" t="n"/>
    </row>
    <row r="59">
      <c r="A59" s="13" t="n"/>
      <c r="B59" s="14" t="n"/>
      <c r="C59" s="14" t="n"/>
      <c r="D59" s="14" t="n"/>
      <c r="E59" s="15" t="n"/>
      <c r="F59" s="16" t="n"/>
      <c r="G59" s="17" t="n">
        <v>0.52</v>
      </c>
      <c r="H59" s="18">
        <f>IF(F59="","",F59*G59/15)</f>
        <v/>
      </c>
      <c r="I59" s="19" t="n"/>
      <c r="J59" s="19">
        <f>IF(H59="","",H59*I59)</f>
        <v/>
      </c>
      <c r="K59" s="19" t="n"/>
      <c r="L59" s="19">
        <f>IF(J59="","",J59+N(K59))</f>
        <v/>
      </c>
      <c r="M59" s="14" t="n"/>
    </row>
    <row r="60">
      <c r="A60" s="20" t="n"/>
      <c r="B60" s="21" t="n"/>
      <c r="C60" s="21" t="n"/>
      <c r="D60" s="21" t="n"/>
      <c r="E60" s="22" t="n"/>
      <c r="F60" s="23" t="n"/>
      <c r="G60" s="24" t="n">
        <v>0.52</v>
      </c>
      <c r="H60" s="25">
        <f>IF(F60="","",F60*G60/15)</f>
        <v/>
      </c>
      <c r="I60" s="26" t="n"/>
      <c r="J60" s="26">
        <f>IF(H60="","",H60*I60)</f>
        <v/>
      </c>
      <c r="K60" s="26" t="n"/>
      <c r="L60" s="26">
        <f>IF(J60="","",J60+N(K60))</f>
        <v/>
      </c>
      <c r="M60" s="21" t="n"/>
    </row>
    <row r="61">
      <c r="A61" s="13" t="n"/>
      <c r="B61" s="14" t="n"/>
      <c r="C61" s="14" t="n"/>
      <c r="D61" s="14" t="n"/>
      <c r="E61" s="15" t="n"/>
      <c r="F61" s="16" t="n"/>
      <c r="G61" s="17" t="n">
        <v>0.52</v>
      </c>
      <c r="H61" s="18">
        <f>IF(F61="","",F61*G61/15)</f>
        <v/>
      </c>
      <c r="I61" s="19" t="n"/>
      <c r="J61" s="19">
        <f>IF(H61="","",H61*I61)</f>
        <v/>
      </c>
      <c r="K61" s="19" t="n"/>
      <c r="L61" s="19">
        <f>IF(J61="","",J61+N(K61))</f>
        <v/>
      </c>
      <c r="M61" s="14" t="n"/>
    </row>
    <row r="62">
      <c r="A62" s="20" t="n"/>
      <c r="B62" s="21" t="n"/>
      <c r="C62" s="21" t="n"/>
      <c r="D62" s="21" t="n"/>
      <c r="E62" s="22" t="n"/>
      <c r="F62" s="23" t="n"/>
      <c r="G62" s="24" t="n">
        <v>0.52</v>
      </c>
      <c r="H62" s="25">
        <f>IF(F62="","",F62*G62/15)</f>
        <v/>
      </c>
      <c r="I62" s="26" t="n"/>
      <c r="J62" s="26">
        <f>IF(H62="","",H62*I62)</f>
        <v/>
      </c>
      <c r="K62" s="26" t="n"/>
      <c r="L62" s="26">
        <f>IF(J62="","",J62+N(K62))</f>
        <v/>
      </c>
      <c r="M62" s="21" t="n"/>
    </row>
    <row r="63">
      <c r="A63" s="13" t="n"/>
      <c r="B63" s="14" t="n"/>
      <c r="C63" s="14" t="n"/>
      <c r="D63" s="14" t="n"/>
      <c r="E63" s="15" t="n"/>
      <c r="F63" s="16" t="n"/>
      <c r="G63" s="17" t="n">
        <v>0.52</v>
      </c>
      <c r="H63" s="18">
        <f>IF(F63="","",F63*G63/15)</f>
        <v/>
      </c>
      <c r="I63" s="19" t="n"/>
      <c r="J63" s="19">
        <f>IF(H63="","",H63*I63)</f>
        <v/>
      </c>
      <c r="K63" s="19" t="n"/>
      <c r="L63" s="19">
        <f>IF(J63="","",J63+N(K63))</f>
        <v/>
      </c>
      <c r="M63" s="14" t="n"/>
    </row>
    <row r="64">
      <c r="A64" s="20" t="n"/>
      <c r="B64" s="21" t="n"/>
      <c r="C64" s="21" t="n"/>
      <c r="D64" s="21" t="n"/>
      <c r="E64" s="22" t="n"/>
      <c r="F64" s="23" t="n"/>
      <c r="G64" s="24" t="n">
        <v>0.52</v>
      </c>
      <c r="H64" s="25">
        <f>IF(F64="","",F64*G64/15)</f>
        <v/>
      </c>
      <c r="I64" s="26" t="n"/>
      <c r="J64" s="26">
        <f>IF(H64="","",H64*I64)</f>
        <v/>
      </c>
      <c r="K64" s="26" t="n"/>
      <c r="L64" s="26">
        <f>IF(J64="","",J64+N(K64))</f>
        <v/>
      </c>
      <c r="M64" s="21" t="n"/>
    </row>
    <row r="65">
      <c r="A65" s="13" t="n"/>
      <c r="B65" s="14" t="n"/>
      <c r="C65" s="14" t="n"/>
      <c r="D65" s="14" t="n"/>
      <c r="E65" s="15" t="n"/>
      <c r="F65" s="16" t="n"/>
      <c r="G65" s="17" t="n">
        <v>0.52</v>
      </c>
      <c r="H65" s="18">
        <f>IF(F65="","",F65*G65/15)</f>
        <v/>
      </c>
      <c r="I65" s="19" t="n"/>
      <c r="J65" s="19">
        <f>IF(H65="","",H65*I65)</f>
        <v/>
      </c>
      <c r="K65" s="19" t="n"/>
      <c r="L65" s="19">
        <f>IF(J65="","",J65+N(K65))</f>
        <v/>
      </c>
      <c r="M65" s="14" t="n"/>
    </row>
    <row r="66">
      <c r="A66" s="20" t="n"/>
      <c r="B66" s="21" t="n"/>
      <c r="C66" s="21" t="n"/>
      <c r="D66" s="21" t="n"/>
      <c r="E66" s="22" t="n"/>
      <c r="F66" s="23" t="n"/>
      <c r="G66" s="24" t="n">
        <v>0.52</v>
      </c>
      <c r="H66" s="25">
        <f>IF(F66="","",F66*G66/15)</f>
        <v/>
      </c>
      <c r="I66" s="26" t="n"/>
      <c r="J66" s="26">
        <f>IF(H66="","",H66*I66)</f>
        <v/>
      </c>
      <c r="K66" s="26" t="n"/>
      <c r="L66" s="26">
        <f>IF(J66="","",J66+N(K66))</f>
        <v/>
      </c>
      <c r="M66" s="21" t="n"/>
    </row>
    <row r="67">
      <c r="A67" s="13" t="n"/>
      <c r="B67" s="14" t="n"/>
      <c r="C67" s="14" t="n"/>
      <c r="D67" s="14" t="n"/>
      <c r="E67" s="15" t="n"/>
      <c r="F67" s="16" t="n"/>
      <c r="G67" s="17" t="n">
        <v>0.52</v>
      </c>
      <c r="H67" s="18">
        <f>IF(F67="","",F67*G67/15)</f>
        <v/>
      </c>
      <c r="I67" s="19" t="n"/>
      <c r="J67" s="19">
        <f>IF(H67="","",H67*I67)</f>
        <v/>
      </c>
      <c r="K67" s="19" t="n"/>
      <c r="L67" s="19">
        <f>IF(J67="","",J67+N(K67))</f>
        <v/>
      </c>
      <c r="M67" s="14" t="n"/>
    </row>
    <row r="68">
      <c r="A68" s="20" t="n"/>
      <c r="B68" s="21" t="n"/>
      <c r="C68" s="21" t="n"/>
      <c r="D68" s="21" t="n"/>
      <c r="E68" s="22" t="n"/>
      <c r="F68" s="23" t="n"/>
      <c r="G68" s="24" t="n">
        <v>0.52</v>
      </c>
      <c r="H68" s="25">
        <f>IF(F68="","",F68*G68/15)</f>
        <v/>
      </c>
      <c r="I68" s="26" t="n"/>
      <c r="J68" s="26">
        <f>IF(H68="","",H68*I68)</f>
        <v/>
      </c>
      <c r="K68" s="26" t="n"/>
      <c r="L68" s="26">
        <f>IF(J68="","",J68+N(K68))</f>
        <v/>
      </c>
      <c r="M68" s="21" t="n"/>
    </row>
    <row r="69">
      <c r="A69" s="13" t="n"/>
      <c r="B69" s="14" t="n"/>
      <c r="C69" s="14" t="n"/>
      <c r="D69" s="14" t="n"/>
      <c r="E69" s="15" t="n"/>
      <c r="F69" s="16" t="n"/>
      <c r="G69" s="17" t="n">
        <v>0.52</v>
      </c>
      <c r="H69" s="18">
        <f>IF(F69="","",F69*G69/15)</f>
        <v/>
      </c>
      <c r="I69" s="19" t="n"/>
      <c r="J69" s="19">
        <f>IF(H69="","",H69*I69)</f>
        <v/>
      </c>
      <c r="K69" s="19" t="n"/>
      <c r="L69" s="19">
        <f>IF(J69="","",J69+N(K69))</f>
        <v/>
      </c>
      <c r="M69" s="14" t="n"/>
    </row>
    <row r="70">
      <c r="A70" s="20" t="n"/>
      <c r="B70" s="21" t="n"/>
      <c r="C70" s="21" t="n"/>
      <c r="D70" s="21" t="n"/>
      <c r="E70" s="22" t="n"/>
      <c r="F70" s="23" t="n"/>
      <c r="G70" s="24" t="n">
        <v>0.52</v>
      </c>
      <c r="H70" s="25">
        <f>IF(F70="","",F70*G70/15)</f>
        <v/>
      </c>
      <c r="I70" s="26" t="n"/>
      <c r="J70" s="26">
        <f>IF(H70="","",H70*I70)</f>
        <v/>
      </c>
      <c r="K70" s="26" t="n"/>
      <c r="L70" s="26">
        <f>IF(J70="","",J70+N(K70))</f>
        <v/>
      </c>
      <c r="M70" s="21" t="n"/>
    </row>
    <row r="71">
      <c r="A71" s="13" t="n"/>
      <c r="B71" s="14" t="n"/>
      <c r="C71" s="14" t="n"/>
      <c r="D71" s="14" t="n"/>
      <c r="E71" s="15" t="n"/>
      <c r="F71" s="16" t="n"/>
      <c r="G71" s="17" t="n">
        <v>0.52</v>
      </c>
      <c r="H71" s="18">
        <f>IF(F71="","",F71*G71/15)</f>
        <v/>
      </c>
      <c r="I71" s="19" t="n"/>
      <c r="J71" s="19">
        <f>IF(H71="","",H71*I71)</f>
        <v/>
      </c>
      <c r="K71" s="19" t="n"/>
      <c r="L71" s="19">
        <f>IF(J71="","",J71+N(K71))</f>
        <v/>
      </c>
      <c r="M71" s="14" t="n"/>
    </row>
    <row r="72">
      <c r="A72" s="20" t="n"/>
      <c r="B72" s="21" t="n"/>
      <c r="C72" s="21" t="n"/>
      <c r="D72" s="21" t="n"/>
      <c r="E72" s="22" t="n"/>
      <c r="F72" s="23" t="n"/>
      <c r="G72" s="24" t="n">
        <v>0.52</v>
      </c>
      <c r="H72" s="25">
        <f>IF(F72="","",F72*G72/15)</f>
        <v/>
      </c>
      <c r="I72" s="26" t="n"/>
      <c r="J72" s="26">
        <f>IF(H72="","",H72*I72)</f>
        <v/>
      </c>
      <c r="K72" s="26" t="n"/>
      <c r="L72" s="26">
        <f>IF(J72="","",J72+N(K72))</f>
        <v/>
      </c>
      <c r="M72" s="21" t="n"/>
    </row>
    <row r="73">
      <c r="A73" s="13" t="n"/>
      <c r="B73" s="14" t="n"/>
      <c r="C73" s="14" t="n"/>
      <c r="D73" s="14" t="n"/>
      <c r="E73" s="15" t="n"/>
      <c r="F73" s="16" t="n"/>
      <c r="G73" s="17" t="n">
        <v>0.52</v>
      </c>
      <c r="H73" s="18">
        <f>IF(F73="","",F73*G73/15)</f>
        <v/>
      </c>
      <c r="I73" s="19" t="n"/>
      <c r="J73" s="19">
        <f>IF(H73="","",H73*I73)</f>
        <v/>
      </c>
      <c r="K73" s="19" t="n"/>
      <c r="L73" s="19">
        <f>IF(J73="","",J73+N(K73))</f>
        <v/>
      </c>
      <c r="M73" s="14" t="n"/>
    </row>
    <row r="74">
      <c r="A74" s="20" t="n"/>
      <c r="B74" s="21" t="n"/>
      <c r="C74" s="21" t="n"/>
      <c r="D74" s="21" t="n"/>
      <c r="E74" s="22" t="n"/>
      <c r="F74" s="23" t="n"/>
      <c r="G74" s="24" t="n">
        <v>0.52</v>
      </c>
      <c r="H74" s="25">
        <f>IF(F74="","",F74*G74/15)</f>
        <v/>
      </c>
      <c r="I74" s="26" t="n"/>
      <c r="J74" s="26">
        <f>IF(H74="","",H74*I74)</f>
        <v/>
      </c>
      <c r="K74" s="26" t="n"/>
      <c r="L74" s="26">
        <f>IF(J74="","",J74+N(K74))</f>
        <v/>
      </c>
      <c r="M74" s="21" t="n"/>
    </row>
    <row r="75">
      <c r="A75" s="13" t="n"/>
      <c r="B75" s="14" t="n"/>
      <c r="C75" s="14" t="n"/>
      <c r="D75" s="14" t="n"/>
      <c r="E75" s="15" t="n"/>
      <c r="F75" s="16" t="n"/>
      <c r="G75" s="17" t="n">
        <v>0.52</v>
      </c>
      <c r="H75" s="18">
        <f>IF(F75="","",F75*G75/15)</f>
        <v/>
      </c>
      <c r="I75" s="19" t="n"/>
      <c r="J75" s="19">
        <f>IF(H75="","",H75*I75)</f>
        <v/>
      </c>
      <c r="K75" s="19" t="n"/>
      <c r="L75" s="19">
        <f>IF(J75="","",J75+N(K75))</f>
        <v/>
      </c>
      <c r="M75" s="14" t="n"/>
    </row>
    <row r="76">
      <c r="A76" s="20" t="n"/>
      <c r="B76" s="21" t="n"/>
      <c r="C76" s="21" t="n"/>
      <c r="D76" s="21" t="n"/>
      <c r="E76" s="22" t="n"/>
      <c r="F76" s="23" t="n"/>
      <c r="G76" s="24" t="n">
        <v>0.52</v>
      </c>
      <c r="H76" s="25">
        <f>IF(F76="","",F76*G76/15)</f>
        <v/>
      </c>
      <c r="I76" s="26" t="n"/>
      <c r="J76" s="26">
        <f>IF(H76="","",H76*I76)</f>
        <v/>
      </c>
      <c r="K76" s="26" t="n"/>
      <c r="L76" s="26">
        <f>IF(J76="","",J76+N(K76))</f>
        <v/>
      </c>
      <c r="M76" s="21" t="n"/>
    </row>
    <row r="77">
      <c r="A77" s="13" t="n"/>
      <c r="B77" s="14" t="n"/>
      <c r="C77" s="14" t="n"/>
      <c r="D77" s="14" t="n"/>
      <c r="E77" s="15" t="n"/>
      <c r="F77" s="16" t="n"/>
      <c r="G77" s="17" t="n">
        <v>0.52</v>
      </c>
      <c r="H77" s="18">
        <f>IF(F77="","",F77*G77/15)</f>
        <v/>
      </c>
      <c r="I77" s="19" t="n"/>
      <c r="J77" s="19">
        <f>IF(H77="","",H77*I77)</f>
        <v/>
      </c>
      <c r="K77" s="19" t="n"/>
      <c r="L77" s="19">
        <f>IF(J77="","",J77+N(K77))</f>
        <v/>
      </c>
      <c r="M77" s="14" t="n"/>
    </row>
    <row r="78">
      <c r="A78" s="20" t="n"/>
      <c r="B78" s="21" t="n"/>
      <c r="C78" s="21" t="n"/>
      <c r="D78" s="21" t="n"/>
      <c r="E78" s="22" t="n"/>
      <c r="F78" s="23" t="n"/>
      <c r="G78" s="24" t="n">
        <v>0.52</v>
      </c>
      <c r="H78" s="25">
        <f>IF(F78="","",F78*G78/15)</f>
        <v/>
      </c>
      <c r="I78" s="26" t="n"/>
      <c r="J78" s="26">
        <f>IF(H78="","",H78*I78)</f>
        <v/>
      </c>
      <c r="K78" s="26" t="n"/>
      <c r="L78" s="26">
        <f>IF(J78="","",J78+N(K78))</f>
        <v/>
      </c>
      <c r="M78" s="21" t="n"/>
    </row>
    <row r="79">
      <c r="A79" s="13" t="n"/>
      <c r="B79" s="14" t="n"/>
      <c r="C79" s="14" t="n"/>
      <c r="D79" s="14" t="n"/>
      <c r="E79" s="15" t="n"/>
      <c r="F79" s="16" t="n"/>
      <c r="G79" s="17" t="n">
        <v>0.52</v>
      </c>
      <c r="H79" s="18">
        <f>IF(F79="","",F79*G79/15)</f>
        <v/>
      </c>
      <c r="I79" s="19" t="n"/>
      <c r="J79" s="19">
        <f>IF(H79="","",H79*I79)</f>
        <v/>
      </c>
      <c r="K79" s="19" t="n"/>
      <c r="L79" s="19">
        <f>IF(J79="","",J79+N(K79))</f>
        <v/>
      </c>
      <c r="M79" s="14" t="n"/>
    </row>
    <row r="80">
      <c r="A80" s="20" t="n"/>
      <c r="B80" s="21" t="n"/>
      <c r="C80" s="21" t="n"/>
      <c r="D80" s="21" t="n"/>
      <c r="E80" s="22" t="n"/>
      <c r="F80" s="23" t="n"/>
      <c r="G80" s="24" t="n">
        <v>0.52</v>
      </c>
      <c r="H80" s="25">
        <f>IF(F80="","",F80*G80/15)</f>
        <v/>
      </c>
      <c r="I80" s="26" t="n"/>
      <c r="J80" s="26">
        <f>IF(H80="","",H80*I80)</f>
        <v/>
      </c>
      <c r="K80" s="26" t="n"/>
      <c r="L80" s="26">
        <f>IF(J80="","",J80+N(K80))</f>
        <v/>
      </c>
      <c r="M80" s="21" t="n"/>
    </row>
    <row r="81">
      <c r="A81" s="13" t="n"/>
      <c r="B81" s="14" t="n"/>
      <c r="C81" s="14" t="n"/>
      <c r="D81" s="14" t="n"/>
      <c r="E81" s="15" t="n"/>
      <c r="F81" s="16" t="n"/>
      <c r="G81" s="17" t="n">
        <v>0.52</v>
      </c>
      <c r="H81" s="18">
        <f>IF(F81="","",F81*G81/15)</f>
        <v/>
      </c>
      <c r="I81" s="19" t="n"/>
      <c r="J81" s="19">
        <f>IF(H81="","",H81*I81)</f>
        <v/>
      </c>
      <c r="K81" s="19" t="n"/>
      <c r="L81" s="19">
        <f>IF(J81="","",J81+N(K81))</f>
        <v/>
      </c>
      <c r="M81" s="14" t="n"/>
    </row>
    <row r="82">
      <c r="A82" s="20" t="n"/>
      <c r="B82" s="21" t="n"/>
      <c r="C82" s="21" t="n"/>
      <c r="D82" s="21" t="n"/>
      <c r="E82" s="22" t="n"/>
      <c r="F82" s="23" t="n"/>
      <c r="G82" s="24" t="n">
        <v>0.52</v>
      </c>
      <c r="H82" s="25">
        <f>IF(F82="","",F82*G82/15)</f>
        <v/>
      </c>
      <c r="I82" s="26" t="n"/>
      <c r="J82" s="26">
        <f>IF(H82="","",H82*I82)</f>
        <v/>
      </c>
      <c r="K82" s="26" t="n"/>
      <c r="L82" s="26">
        <f>IF(J82="","",J82+N(K82))</f>
        <v/>
      </c>
      <c r="M82" s="21" t="n"/>
    </row>
    <row r="83">
      <c r="A83" s="13" t="n"/>
      <c r="B83" s="14" t="n"/>
      <c r="C83" s="14" t="n"/>
      <c r="D83" s="14" t="n"/>
      <c r="E83" s="15" t="n"/>
      <c r="F83" s="16" t="n"/>
      <c r="G83" s="17" t="n">
        <v>0.52</v>
      </c>
      <c r="H83" s="18">
        <f>IF(F83="","",F83*G83/15)</f>
        <v/>
      </c>
      <c r="I83" s="19" t="n"/>
      <c r="J83" s="19">
        <f>IF(H83="","",H83*I83)</f>
        <v/>
      </c>
      <c r="K83" s="19" t="n"/>
      <c r="L83" s="19">
        <f>IF(J83="","",J83+N(K83))</f>
        <v/>
      </c>
      <c r="M83" s="14" t="n"/>
    </row>
    <row r="84">
      <c r="A84" s="20" t="n"/>
      <c r="B84" s="21" t="n"/>
      <c r="C84" s="21" t="n"/>
      <c r="D84" s="21" t="n"/>
      <c r="E84" s="22" t="n"/>
      <c r="F84" s="23" t="n"/>
      <c r="G84" s="24" t="n">
        <v>0.52</v>
      </c>
      <c r="H84" s="25">
        <f>IF(F84="","",F84*G84/15)</f>
        <v/>
      </c>
      <c r="I84" s="26" t="n"/>
      <c r="J84" s="26">
        <f>IF(H84="","",H84*I84)</f>
        <v/>
      </c>
      <c r="K84" s="26" t="n"/>
      <c r="L84" s="26">
        <f>IF(J84="","",J84+N(K84))</f>
        <v/>
      </c>
      <c r="M84" s="21" t="n"/>
    </row>
    <row r="85">
      <c r="A85" s="13" t="n"/>
      <c r="B85" s="14" t="n"/>
      <c r="C85" s="14" t="n"/>
      <c r="D85" s="14" t="n"/>
      <c r="E85" s="15" t="n"/>
      <c r="F85" s="16" t="n"/>
      <c r="G85" s="17" t="n">
        <v>0.52</v>
      </c>
      <c r="H85" s="18">
        <f>IF(F85="","",F85*G85/15)</f>
        <v/>
      </c>
      <c r="I85" s="19" t="n"/>
      <c r="J85" s="19">
        <f>IF(H85="","",H85*I85)</f>
        <v/>
      </c>
      <c r="K85" s="19" t="n"/>
      <c r="L85" s="19">
        <f>IF(J85="","",J85+N(K85))</f>
        <v/>
      </c>
      <c r="M85" s="14" t="n"/>
    </row>
    <row r="86">
      <c r="A86" s="20" t="n"/>
      <c r="B86" s="21" t="n"/>
      <c r="C86" s="21" t="n"/>
      <c r="D86" s="21" t="n"/>
      <c r="E86" s="22" t="n"/>
      <c r="F86" s="23" t="n"/>
      <c r="G86" s="24" t="n">
        <v>0.52</v>
      </c>
      <c r="H86" s="25">
        <f>IF(F86="","",F86*G86/15)</f>
        <v/>
      </c>
      <c r="I86" s="26" t="n"/>
      <c r="J86" s="26">
        <f>IF(H86="","",H86*I86)</f>
        <v/>
      </c>
      <c r="K86" s="26" t="n"/>
      <c r="L86" s="26">
        <f>IF(J86="","",J86+N(K86))</f>
        <v/>
      </c>
      <c r="M86" s="21" t="n"/>
    </row>
    <row r="87">
      <c r="A87" s="13" t="n"/>
      <c r="B87" s="14" t="n"/>
      <c r="C87" s="14" t="n"/>
      <c r="D87" s="14" t="n"/>
      <c r="E87" s="15" t="n"/>
      <c r="F87" s="16" t="n"/>
      <c r="G87" s="17" t="n">
        <v>0.52</v>
      </c>
      <c r="H87" s="18">
        <f>IF(F87="","",F87*G87/15)</f>
        <v/>
      </c>
      <c r="I87" s="19" t="n"/>
      <c r="J87" s="19">
        <f>IF(H87="","",H87*I87)</f>
        <v/>
      </c>
      <c r="K87" s="19" t="n"/>
      <c r="L87" s="19">
        <f>IF(J87="","",J87+N(K87))</f>
        <v/>
      </c>
      <c r="M87" s="14" t="n"/>
    </row>
    <row r="88">
      <c r="A88" s="20" t="n"/>
      <c r="B88" s="21" t="n"/>
      <c r="C88" s="21" t="n"/>
      <c r="D88" s="21" t="n"/>
      <c r="E88" s="22" t="n"/>
      <c r="F88" s="23" t="n"/>
      <c r="G88" s="24" t="n">
        <v>0.52</v>
      </c>
      <c r="H88" s="25">
        <f>IF(F88="","",F88*G88/15)</f>
        <v/>
      </c>
      <c r="I88" s="26" t="n"/>
      <c r="J88" s="26">
        <f>IF(H88="","",H88*I88)</f>
        <v/>
      </c>
      <c r="K88" s="26" t="n"/>
      <c r="L88" s="26">
        <f>IF(J88="","",J88+N(K88))</f>
        <v/>
      </c>
      <c r="M88" s="21" t="n"/>
    </row>
    <row r="89">
      <c r="A89" s="13" t="n"/>
      <c r="B89" s="14" t="n"/>
      <c r="C89" s="14" t="n"/>
      <c r="D89" s="14" t="n"/>
      <c r="E89" s="15" t="n"/>
      <c r="F89" s="16" t="n"/>
      <c r="G89" s="17" t="n">
        <v>0.52</v>
      </c>
      <c r="H89" s="18">
        <f>IF(F89="","",F89*G89/15)</f>
        <v/>
      </c>
      <c r="I89" s="19" t="n"/>
      <c r="J89" s="19">
        <f>IF(H89="","",H89*I89)</f>
        <v/>
      </c>
      <c r="K89" s="19" t="n"/>
      <c r="L89" s="19">
        <f>IF(J89="","",J89+N(K89))</f>
        <v/>
      </c>
      <c r="M89" s="14" t="n"/>
    </row>
    <row r="90">
      <c r="A90" s="20" t="n"/>
      <c r="B90" s="21" t="n"/>
      <c r="C90" s="21" t="n"/>
      <c r="D90" s="21" t="n"/>
      <c r="E90" s="22" t="n"/>
      <c r="F90" s="23" t="n"/>
      <c r="G90" s="24" t="n">
        <v>0.52</v>
      </c>
      <c r="H90" s="25">
        <f>IF(F90="","",F90*G90/15)</f>
        <v/>
      </c>
      <c r="I90" s="26" t="n"/>
      <c r="J90" s="26">
        <f>IF(H90="","",H90*I90)</f>
        <v/>
      </c>
      <c r="K90" s="26" t="n"/>
      <c r="L90" s="26">
        <f>IF(J90="","",J90+N(K90))</f>
        <v/>
      </c>
      <c r="M90" s="21" t="n"/>
    </row>
    <row r="91">
      <c r="A91" s="13" t="n"/>
      <c r="B91" s="14" t="n"/>
      <c r="C91" s="14" t="n"/>
      <c r="D91" s="14" t="n"/>
      <c r="E91" s="15" t="n"/>
      <c r="F91" s="16" t="n"/>
      <c r="G91" s="17" t="n">
        <v>0.52</v>
      </c>
      <c r="H91" s="18">
        <f>IF(F91="","",F91*G91/15)</f>
        <v/>
      </c>
      <c r="I91" s="19" t="n"/>
      <c r="J91" s="19">
        <f>IF(H91="","",H91*I91)</f>
        <v/>
      </c>
      <c r="K91" s="19" t="n"/>
      <c r="L91" s="19">
        <f>IF(J91="","",J91+N(K91))</f>
        <v/>
      </c>
      <c r="M91" s="14" t="n"/>
    </row>
    <row r="92">
      <c r="A92" s="20" t="n"/>
      <c r="B92" s="21" t="n"/>
      <c r="C92" s="21" t="n"/>
      <c r="D92" s="21" t="n"/>
      <c r="E92" s="22" t="n"/>
      <c r="F92" s="23" t="n"/>
      <c r="G92" s="24" t="n">
        <v>0.52</v>
      </c>
      <c r="H92" s="25">
        <f>IF(F92="","",F92*G92/15)</f>
        <v/>
      </c>
      <c r="I92" s="26" t="n"/>
      <c r="J92" s="26">
        <f>IF(H92="","",H92*I92)</f>
        <v/>
      </c>
      <c r="K92" s="26" t="n"/>
      <c r="L92" s="26">
        <f>IF(J92="","",J92+N(K92))</f>
        <v/>
      </c>
      <c r="M92" s="21" t="n"/>
    </row>
    <row r="93">
      <c r="A93" s="13" t="n"/>
      <c r="B93" s="14" t="n"/>
      <c r="C93" s="14" t="n"/>
      <c r="D93" s="14" t="n"/>
      <c r="E93" s="15" t="n"/>
      <c r="F93" s="16" t="n"/>
      <c r="G93" s="17" t="n">
        <v>0.52</v>
      </c>
      <c r="H93" s="18">
        <f>IF(F93="","",F93*G93/15)</f>
        <v/>
      </c>
      <c r="I93" s="19" t="n"/>
      <c r="J93" s="19">
        <f>IF(H93="","",H93*I93)</f>
        <v/>
      </c>
      <c r="K93" s="19" t="n"/>
      <c r="L93" s="19">
        <f>IF(J93="","",J93+N(K93))</f>
        <v/>
      </c>
      <c r="M93" s="14" t="n"/>
    </row>
    <row r="94">
      <c r="A94" s="20" t="n"/>
      <c r="B94" s="21" t="n"/>
      <c r="C94" s="21" t="n"/>
      <c r="D94" s="21" t="n"/>
      <c r="E94" s="22" t="n"/>
      <c r="F94" s="23" t="n"/>
      <c r="G94" s="24" t="n">
        <v>0.52</v>
      </c>
      <c r="H94" s="25">
        <f>IF(F94="","",F94*G94/15)</f>
        <v/>
      </c>
      <c r="I94" s="26" t="n"/>
      <c r="J94" s="26">
        <f>IF(H94="","",H94*I94)</f>
        <v/>
      </c>
      <c r="K94" s="26" t="n"/>
      <c r="L94" s="26">
        <f>IF(J94="","",J94+N(K94))</f>
        <v/>
      </c>
      <c r="M94" s="21" t="n"/>
    </row>
    <row r="95">
      <c r="A95" s="13" t="n"/>
      <c r="B95" s="14" t="n"/>
      <c r="C95" s="14" t="n"/>
      <c r="D95" s="14" t="n"/>
      <c r="E95" s="15" t="n"/>
      <c r="F95" s="16" t="n"/>
      <c r="G95" s="17" t="n">
        <v>0.52</v>
      </c>
      <c r="H95" s="18">
        <f>IF(F95="","",F95*G95/15)</f>
        <v/>
      </c>
      <c r="I95" s="19" t="n"/>
      <c r="J95" s="19">
        <f>IF(H95="","",H95*I95)</f>
        <v/>
      </c>
      <c r="K95" s="19" t="n"/>
      <c r="L95" s="19">
        <f>IF(J95="","",J95+N(K95))</f>
        <v/>
      </c>
      <c r="M95" s="14" t="n"/>
    </row>
    <row r="96">
      <c r="A96" s="20" t="n"/>
      <c r="B96" s="21" t="n"/>
      <c r="C96" s="21" t="n"/>
      <c r="D96" s="21" t="n"/>
      <c r="E96" s="22" t="n"/>
      <c r="F96" s="23" t="n"/>
      <c r="G96" s="24" t="n">
        <v>0.52</v>
      </c>
      <c r="H96" s="25">
        <f>IF(F96="","",F96*G96/15)</f>
        <v/>
      </c>
      <c r="I96" s="26" t="n"/>
      <c r="J96" s="26">
        <f>IF(H96="","",H96*I96)</f>
        <v/>
      </c>
      <c r="K96" s="26" t="n"/>
      <c r="L96" s="26">
        <f>IF(J96="","",J96+N(K96))</f>
        <v/>
      </c>
      <c r="M96" s="21" t="n"/>
    </row>
    <row r="97">
      <c r="A97" s="13" t="n"/>
      <c r="B97" s="14" t="n"/>
      <c r="C97" s="14" t="n"/>
      <c r="D97" s="14" t="n"/>
      <c r="E97" s="15" t="n"/>
      <c r="F97" s="16" t="n"/>
      <c r="G97" s="17" t="n">
        <v>0.52</v>
      </c>
      <c r="H97" s="18">
        <f>IF(F97="","",F97*G97/15)</f>
        <v/>
      </c>
      <c r="I97" s="19" t="n"/>
      <c r="J97" s="19">
        <f>IF(H97="","",H97*I97)</f>
        <v/>
      </c>
      <c r="K97" s="19" t="n"/>
      <c r="L97" s="19">
        <f>IF(J97="","",J97+N(K97))</f>
        <v/>
      </c>
      <c r="M97" s="14" t="n"/>
    </row>
    <row r="98">
      <c r="A98" s="20" t="n"/>
      <c r="B98" s="21" t="n"/>
      <c r="C98" s="21" t="n"/>
      <c r="D98" s="21" t="n"/>
      <c r="E98" s="22" t="n"/>
      <c r="F98" s="23" t="n"/>
      <c r="G98" s="24" t="n">
        <v>0.52</v>
      </c>
      <c r="H98" s="25">
        <f>IF(F98="","",F98*G98/15)</f>
        <v/>
      </c>
      <c r="I98" s="26" t="n"/>
      <c r="J98" s="26">
        <f>IF(H98="","",H98*I98)</f>
        <v/>
      </c>
      <c r="K98" s="26" t="n"/>
      <c r="L98" s="26">
        <f>IF(J98="","",J98+N(K98))</f>
        <v/>
      </c>
      <c r="M98" s="21" t="n"/>
    </row>
    <row r="99">
      <c r="A99" s="13" t="n"/>
      <c r="B99" s="14" t="n"/>
      <c r="C99" s="14" t="n"/>
      <c r="D99" s="14" t="n"/>
      <c r="E99" s="15" t="n"/>
      <c r="F99" s="16" t="n"/>
      <c r="G99" s="17" t="n">
        <v>0.52</v>
      </c>
      <c r="H99" s="18">
        <f>IF(F99="","",F99*G99/15)</f>
        <v/>
      </c>
      <c r="I99" s="19" t="n"/>
      <c r="J99" s="19">
        <f>IF(H99="","",H99*I99)</f>
        <v/>
      </c>
      <c r="K99" s="19" t="n"/>
      <c r="L99" s="19">
        <f>IF(J99="","",J99+N(K99))</f>
        <v/>
      </c>
      <c r="M99" s="14" t="n"/>
    </row>
    <row r="100">
      <c r="A100" s="20" t="n"/>
      <c r="B100" s="21" t="n"/>
      <c r="C100" s="21" t="n"/>
      <c r="D100" s="21" t="n"/>
      <c r="E100" s="22" t="n"/>
      <c r="F100" s="23" t="n"/>
      <c r="G100" s="24" t="n">
        <v>0.52</v>
      </c>
      <c r="H100" s="25">
        <f>IF(F100="","",F100*G100/15)</f>
        <v/>
      </c>
      <c r="I100" s="26" t="n"/>
      <c r="J100" s="26">
        <f>IF(H100="","",H100*I100)</f>
        <v/>
      </c>
      <c r="K100" s="26" t="n"/>
      <c r="L100" s="26">
        <f>IF(J100="","",J100+N(K100))</f>
        <v/>
      </c>
      <c r="M100" s="21" t="n"/>
    </row>
    <row r="101">
      <c r="A101" s="13" t="n"/>
      <c r="B101" s="14" t="n"/>
      <c r="C101" s="14" t="n"/>
      <c r="D101" s="14" t="n"/>
      <c r="E101" s="15" t="n"/>
      <c r="F101" s="16" t="n"/>
      <c r="G101" s="17" t="n">
        <v>0.52</v>
      </c>
      <c r="H101" s="18">
        <f>IF(F101="","",F101*G101/15)</f>
        <v/>
      </c>
      <c r="I101" s="19" t="n"/>
      <c r="J101" s="19">
        <f>IF(H101="","",H101*I101)</f>
        <v/>
      </c>
      <c r="K101" s="19" t="n"/>
      <c r="L101" s="19">
        <f>IF(J101="","",J101+N(K101))</f>
        <v/>
      </c>
      <c r="M101" s="14" t="n"/>
    </row>
    <row r="102">
      <c r="A102" s="20" t="n"/>
      <c r="B102" s="21" t="n"/>
      <c r="C102" s="21" t="n"/>
      <c r="D102" s="21" t="n"/>
      <c r="E102" s="22" t="n"/>
      <c r="F102" s="23" t="n"/>
      <c r="G102" s="24" t="n">
        <v>0.52</v>
      </c>
      <c r="H102" s="25">
        <f>IF(F102="","",F102*G102/15)</f>
        <v/>
      </c>
      <c r="I102" s="26" t="n"/>
      <c r="J102" s="26">
        <f>IF(H102="","",H102*I102)</f>
        <v/>
      </c>
      <c r="K102" s="26" t="n"/>
      <c r="L102" s="26">
        <f>IF(J102="","",J102+N(K102))</f>
        <v/>
      </c>
      <c r="M102" s="21" t="n"/>
    </row>
    <row r="103">
      <c r="A103" s="13" t="n"/>
      <c r="B103" s="14" t="n"/>
      <c r="C103" s="14" t="n"/>
      <c r="D103" s="14" t="n"/>
      <c r="E103" s="15" t="n"/>
      <c r="F103" s="16" t="n"/>
      <c r="G103" s="17" t="n">
        <v>0.52</v>
      </c>
      <c r="H103" s="18">
        <f>IF(F103="","",F103*G103/15)</f>
        <v/>
      </c>
      <c r="I103" s="19" t="n"/>
      <c r="J103" s="19">
        <f>IF(H103="","",H103*I103)</f>
        <v/>
      </c>
      <c r="K103" s="19" t="n"/>
      <c r="L103" s="19">
        <f>IF(J103="","",J103+N(K103))</f>
        <v/>
      </c>
      <c r="M103" s="14" t="n"/>
    </row>
    <row r="104">
      <c r="A104" s="20" t="n"/>
      <c r="B104" s="21" t="n"/>
      <c r="C104" s="21" t="n"/>
      <c r="D104" s="21" t="n"/>
      <c r="E104" s="22" t="n"/>
      <c r="F104" s="23" t="n"/>
      <c r="G104" s="24" t="n">
        <v>0.52</v>
      </c>
      <c r="H104" s="25">
        <f>IF(F104="","",F104*G104/15)</f>
        <v/>
      </c>
      <c r="I104" s="26" t="n"/>
      <c r="J104" s="26">
        <f>IF(H104="","",H104*I104)</f>
        <v/>
      </c>
      <c r="K104" s="26" t="n"/>
      <c r="L104" s="26">
        <f>IF(J104="","",J104+N(K104))</f>
        <v/>
      </c>
      <c r="M104" s="21" t="n"/>
    </row>
    <row r="105">
      <c r="A105" s="13" t="n"/>
      <c r="B105" s="14" t="n"/>
      <c r="C105" s="14" t="n"/>
      <c r="D105" s="14" t="n"/>
      <c r="E105" s="15" t="n"/>
      <c r="F105" s="16" t="n"/>
      <c r="G105" s="17" t="n">
        <v>0.52</v>
      </c>
      <c r="H105" s="18">
        <f>IF(F105="","",F105*G105/15)</f>
        <v/>
      </c>
      <c r="I105" s="19" t="n"/>
      <c r="J105" s="19">
        <f>IF(H105="","",H105*I105)</f>
        <v/>
      </c>
      <c r="K105" s="19" t="n"/>
      <c r="L105" s="19">
        <f>IF(J105="","",J105+N(K105))</f>
        <v/>
      </c>
      <c r="M105" s="14" t="n"/>
    </row>
    <row r="106">
      <c r="A106" s="20" t="n"/>
      <c r="B106" s="21" t="n"/>
      <c r="C106" s="21" t="n"/>
      <c r="D106" s="21" t="n"/>
      <c r="E106" s="22" t="n"/>
      <c r="F106" s="23" t="n"/>
      <c r="G106" s="24" t="n">
        <v>0.52</v>
      </c>
      <c r="H106" s="25">
        <f>IF(F106="","",F106*G106/15)</f>
        <v/>
      </c>
      <c r="I106" s="26" t="n"/>
      <c r="J106" s="26">
        <f>IF(H106="","",H106*I106)</f>
        <v/>
      </c>
      <c r="K106" s="26" t="n"/>
      <c r="L106" s="26">
        <f>IF(J106="","",J106+N(K106))</f>
        <v/>
      </c>
      <c r="M106" s="21" t="n"/>
    </row>
    <row r="107">
      <c r="A107" s="13" t="n"/>
      <c r="B107" s="14" t="n"/>
      <c r="C107" s="14" t="n"/>
      <c r="D107" s="14" t="n"/>
      <c r="E107" s="15" t="n"/>
      <c r="F107" s="16" t="n"/>
      <c r="G107" s="17" t="n">
        <v>0.52</v>
      </c>
      <c r="H107" s="18">
        <f>IF(F107="","",F107*G107/15)</f>
        <v/>
      </c>
      <c r="I107" s="19" t="n"/>
      <c r="J107" s="19">
        <f>IF(H107="","",H107*I107)</f>
        <v/>
      </c>
      <c r="K107" s="19" t="n"/>
      <c r="L107" s="19">
        <f>IF(J107="","",J107+N(K107))</f>
        <v/>
      </c>
      <c r="M107" s="14" t="n"/>
    </row>
    <row r="108">
      <c r="A108" s="20" t="n"/>
      <c r="B108" s="21" t="n"/>
      <c r="C108" s="21" t="n"/>
      <c r="D108" s="21" t="n"/>
      <c r="E108" s="22" t="n"/>
      <c r="F108" s="23" t="n"/>
      <c r="G108" s="24" t="n">
        <v>0.52</v>
      </c>
      <c r="H108" s="25">
        <f>IF(F108="","",F108*G108/15)</f>
        <v/>
      </c>
      <c r="I108" s="26" t="n"/>
      <c r="J108" s="26">
        <f>IF(H108="","",H108*I108)</f>
        <v/>
      </c>
      <c r="K108" s="26" t="n"/>
      <c r="L108" s="26">
        <f>IF(J108="","",J108+N(K108))</f>
        <v/>
      </c>
      <c r="M108" s="21" t="n"/>
    </row>
    <row r="109">
      <c r="A109" s="13" t="n"/>
      <c r="B109" s="14" t="n"/>
      <c r="C109" s="14" t="n"/>
      <c r="D109" s="14" t="n"/>
      <c r="E109" s="15" t="n"/>
      <c r="F109" s="16" t="n"/>
      <c r="G109" s="17" t="n">
        <v>0.52</v>
      </c>
      <c r="H109" s="18">
        <f>IF(F109="","",F109*G109/15)</f>
        <v/>
      </c>
      <c r="I109" s="19" t="n"/>
      <c r="J109" s="19">
        <f>IF(H109="","",H109*I109)</f>
        <v/>
      </c>
      <c r="K109" s="19" t="n"/>
      <c r="L109" s="19">
        <f>IF(J109="","",J109+N(K109))</f>
        <v/>
      </c>
      <c r="M109" s="14" t="n"/>
    </row>
    <row r="110">
      <c r="A110" s="20" t="n"/>
      <c r="B110" s="21" t="n"/>
      <c r="C110" s="21" t="n"/>
      <c r="D110" s="21" t="n"/>
      <c r="E110" s="22" t="n"/>
      <c r="F110" s="23" t="n"/>
      <c r="G110" s="24" t="n">
        <v>0.52</v>
      </c>
      <c r="H110" s="25">
        <f>IF(F110="","",F110*G110/15)</f>
        <v/>
      </c>
      <c r="I110" s="26" t="n"/>
      <c r="J110" s="26">
        <f>IF(H110="","",H110*I110)</f>
        <v/>
      </c>
      <c r="K110" s="26" t="n"/>
      <c r="L110" s="26">
        <f>IF(J110="","",J110+N(K110))</f>
        <v/>
      </c>
      <c r="M110" s="21" t="n"/>
    </row>
    <row r="111">
      <c r="A111" s="13" t="n"/>
      <c r="B111" s="14" t="n"/>
      <c r="C111" s="14" t="n"/>
      <c r="D111" s="14" t="n"/>
      <c r="E111" s="15" t="n"/>
      <c r="F111" s="16" t="n"/>
      <c r="G111" s="17" t="n">
        <v>0.52</v>
      </c>
      <c r="H111" s="18">
        <f>IF(F111="","",F111*G111/15)</f>
        <v/>
      </c>
      <c r="I111" s="19" t="n"/>
      <c r="J111" s="19">
        <f>IF(H111="","",H111*I111)</f>
        <v/>
      </c>
      <c r="K111" s="19" t="n"/>
      <c r="L111" s="19">
        <f>IF(J111="","",J111+N(K111))</f>
        <v/>
      </c>
      <c r="M111" s="14" t="n"/>
    </row>
    <row r="112">
      <c r="A112" s="20" t="n"/>
      <c r="B112" s="21" t="n"/>
      <c r="C112" s="21" t="n"/>
      <c r="D112" s="21" t="n"/>
      <c r="E112" s="22" t="n"/>
      <c r="F112" s="23" t="n"/>
      <c r="G112" s="24" t="n">
        <v>0.52</v>
      </c>
      <c r="H112" s="25">
        <f>IF(F112="","",F112*G112/15)</f>
        <v/>
      </c>
      <c r="I112" s="26" t="n"/>
      <c r="J112" s="26">
        <f>IF(H112="","",H112*I112)</f>
        <v/>
      </c>
      <c r="K112" s="26" t="n"/>
      <c r="L112" s="26">
        <f>IF(J112="","",J112+N(K112))</f>
        <v/>
      </c>
      <c r="M112" s="21" t="n"/>
    </row>
    <row r="113">
      <c r="A113" s="13" t="n"/>
      <c r="B113" s="14" t="n"/>
      <c r="C113" s="14" t="n"/>
      <c r="D113" s="14" t="n"/>
      <c r="E113" s="15" t="n"/>
      <c r="F113" s="16" t="n"/>
      <c r="G113" s="17" t="n">
        <v>0.52</v>
      </c>
      <c r="H113" s="18">
        <f>IF(F113="","",F113*G113/15)</f>
        <v/>
      </c>
      <c r="I113" s="19" t="n"/>
      <c r="J113" s="19">
        <f>IF(H113="","",H113*I113)</f>
        <v/>
      </c>
      <c r="K113" s="19" t="n"/>
      <c r="L113" s="19">
        <f>IF(J113="","",J113+N(K113))</f>
        <v/>
      </c>
      <c r="M113" s="14" t="n"/>
    </row>
    <row r="114">
      <c r="A114" s="20" t="n"/>
      <c r="B114" s="21" t="n"/>
      <c r="C114" s="21" t="n"/>
      <c r="D114" s="21" t="n"/>
      <c r="E114" s="22" t="n"/>
      <c r="F114" s="23" t="n"/>
      <c r="G114" s="24" t="n">
        <v>0.52</v>
      </c>
      <c r="H114" s="25">
        <f>IF(F114="","",F114*G114/15)</f>
        <v/>
      </c>
      <c r="I114" s="26" t="n"/>
      <c r="J114" s="26">
        <f>IF(H114="","",H114*I114)</f>
        <v/>
      </c>
      <c r="K114" s="26" t="n"/>
      <c r="L114" s="26">
        <f>IF(J114="","",J114+N(K114))</f>
        <v/>
      </c>
      <c r="M114" s="21" t="n"/>
    </row>
    <row r="115">
      <c r="A115" s="13" t="n"/>
      <c r="B115" s="14" t="n"/>
      <c r="C115" s="14" t="n"/>
      <c r="D115" s="14" t="n"/>
      <c r="E115" s="15" t="n"/>
      <c r="F115" s="16" t="n"/>
      <c r="G115" s="17" t="n">
        <v>0.52</v>
      </c>
      <c r="H115" s="18">
        <f>IF(F115="","",F115*G115/15)</f>
        <v/>
      </c>
      <c r="I115" s="19" t="n"/>
      <c r="J115" s="19">
        <f>IF(H115="","",H115*I115)</f>
        <v/>
      </c>
      <c r="K115" s="19" t="n"/>
      <c r="L115" s="19">
        <f>IF(J115="","",J115+N(K115))</f>
        <v/>
      </c>
      <c r="M115" s="14" t="n"/>
    </row>
    <row r="116">
      <c r="A116" s="20" t="n"/>
      <c r="B116" s="21" t="n"/>
      <c r="C116" s="21" t="n"/>
      <c r="D116" s="21" t="n"/>
      <c r="E116" s="22" t="n"/>
      <c r="F116" s="23" t="n"/>
      <c r="G116" s="24" t="n">
        <v>0.52</v>
      </c>
      <c r="H116" s="25">
        <f>IF(F116="","",F116*G116/15)</f>
        <v/>
      </c>
      <c r="I116" s="26" t="n"/>
      <c r="J116" s="26">
        <f>IF(H116="","",H116*I116)</f>
        <v/>
      </c>
      <c r="K116" s="26" t="n"/>
      <c r="L116" s="26">
        <f>IF(J116="","",J116+N(K116))</f>
        <v/>
      </c>
      <c r="M116" s="21" t="n"/>
    </row>
    <row r="117">
      <c r="A117" s="13" t="n"/>
      <c r="B117" s="14" t="n"/>
      <c r="C117" s="14" t="n"/>
      <c r="D117" s="14" t="n"/>
      <c r="E117" s="15" t="n"/>
      <c r="F117" s="16" t="n"/>
      <c r="G117" s="17" t="n">
        <v>0.52</v>
      </c>
      <c r="H117" s="18">
        <f>IF(F117="","",F117*G117/15)</f>
        <v/>
      </c>
      <c r="I117" s="19" t="n"/>
      <c r="J117" s="19">
        <f>IF(H117="","",H117*I117)</f>
        <v/>
      </c>
      <c r="K117" s="19" t="n"/>
      <c r="L117" s="19">
        <f>IF(J117="","",J117+N(K117))</f>
        <v/>
      </c>
      <c r="M117" s="14" t="n"/>
    </row>
    <row r="118">
      <c r="A118" s="20" t="n"/>
      <c r="B118" s="21" t="n"/>
      <c r="C118" s="21" t="n"/>
      <c r="D118" s="21" t="n"/>
      <c r="E118" s="22" t="n"/>
      <c r="F118" s="23" t="n"/>
      <c r="G118" s="24" t="n">
        <v>0.52</v>
      </c>
      <c r="H118" s="25">
        <f>IF(F118="","",F118*G118/15)</f>
        <v/>
      </c>
      <c r="I118" s="26" t="n"/>
      <c r="J118" s="26">
        <f>IF(H118="","",H118*I118)</f>
        <v/>
      </c>
      <c r="K118" s="26" t="n"/>
      <c r="L118" s="26">
        <f>IF(J118="","",J118+N(K118))</f>
        <v/>
      </c>
      <c r="M118" s="21" t="n"/>
    </row>
    <row r="119">
      <c r="A119" s="13" t="n"/>
      <c r="B119" s="14" t="n"/>
      <c r="C119" s="14" t="n"/>
      <c r="D119" s="14" t="n"/>
      <c r="E119" s="15" t="n"/>
      <c r="F119" s="16" t="n"/>
      <c r="G119" s="17" t="n">
        <v>0.52</v>
      </c>
      <c r="H119" s="18">
        <f>IF(F119="","",F119*G119/15)</f>
        <v/>
      </c>
      <c r="I119" s="19" t="n"/>
      <c r="J119" s="19">
        <f>IF(H119="","",H119*I119)</f>
        <v/>
      </c>
      <c r="K119" s="19" t="n"/>
      <c r="L119" s="19">
        <f>IF(J119="","",J119+N(K119))</f>
        <v/>
      </c>
      <c r="M119" s="14" t="n"/>
    </row>
    <row r="120">
      <c r="A120" s="20" t="n"/>
      <c r="B120" s="21" t="n"/>
      <c r="C120" s="21" t="n"/>
      <c r="D120" s="21" t="n"/>
      <c r="E120" s="22" t="n"/>
      <c r="F120" s="23" t="n"/>
      <c r="G120" s="24" t="n">
        <v>0.52</v>
      </c>
      <c r="H120" s="25">
        <f>IF(F120="","",F120*G120/15)</f>
        <v/>
      </c>
      <c r="I120" s="26" t="n"/>
      <c r="J120" s="26">
        <f>IF(H120="","",H120*I120)</f>
        <v/>
      </c>
      <c r="K120" s="26" t="n"/>
      <c r="L120" s="26">
        <f>IF(J120="","",J120+N(K120))</f>
        <v/>
      </c>
      <c r="M120" s="21" t="n"/>
    </row>
    <row r="121">
      <c r="A121" s="13" t="n"/>
      <c r="B121" s="14" t="n"/>
      <c r="C121" s="14" t="n"/>
      <c r="D121" s="14" t="n"/>
      <c r="E121" s="15" t="n"/>
      <c r="F121" s="16" t="n"/>
      <c r="G121" s="17" t="n">
        <v>0.52</v>
      </c>
      <c r="H121" s="18">
        <f>IF(F121="","",F121*G121/15)</f>
        <v/>
      </c>
      <c r="I121" s="19" t="n"/>
      <c r="J121" s="19">
        <f>IF(H121="","",H121*I121)</f>
        <v/>
      </c>
      <c r="K121" s="19" t="n"/>
      <c r="L121" s="19">
        <f>IF(J121="","",J121+N(K121))</f>
        <v/>
      </c>
      <c r="M121" s="14" t="n"/>
    </row>
    <row r="122">
      <c r="A122" s="20" t="n"/>
      <c r="B122" s="21" t="n"/>
      <c r="C122" s="21" t="n"/>
      <c r="D122" s="21" t="n"/>
      <c r="E122" s="22" t="n"/>
      <c r="F122" s="23" t="n"/>
      <c r="G122" s="24" t="n">
        <v>0.52</v>
      </c>
      <c r="H122" s="25">
        <f>IF(F122="","",F122*G122/15)</f>
        <v/>
      </c>
      <c r="I122" s="26" t="n"/>
      <c r="J122" s="26">
        <f>IF(H122="","",H122*I122)</f>
        <v/>
      </c>
      <c r="K122" s="26" t="n"/>
      <c r="L122" s="26">
        <f>IF(J122="","",J122+N(K122))</f>
        <v/>
      </c>
      <c r="M122" s="21" t="n"/>
    </row>
    <row r="123">
      <c r="A123" s="13" t="n"/>
      <c r="B123" s="14" t="n"/>
      <c r="C123" s="14" t="n"/>
      <c r="D123" s="14" t="n"/>
      <c r="E123" s="15" t="n"/>
      <c r="F123" s="16" t="n"/>
      <c r="G123" s="17" t="n">
        <v>0.52</v>
      </c>
      <c r="H123" s="18">
        <f>IF(F123="","",F123*G123/15)</f>
        <v/>
      </c>
      <c r="I123" s="19" t="n"/>
      <c r="J123" s="19">
        <f>IF(H123="","",H123*I123)</f>
        <v/>
      </c>
      <c r="K123" s="19" t="n"/>
      <c r="L123" s="19">
        <f>IF(J123="","",J123+N(K123))</f>
        <v/>
      </c>
      <c r="M123" s="14" t="n"/>
    </row>
    <row r="124">
      <c r="A124" s="20" t="n"/>
      <c r="B124" s="21" t="n"/>
      <c r="C124" s="21" t="n"/>
      <c r="D124" s="21" t="n"/>
      <c r="E124" s="22" t="n"/>
      <c r="F124" s="23" t="n"/>
      <c r="G124" s="24" t="n">
        <v>0.52</v>
      </c>
      <c r="H124" s="25">
        <f>IF(F124="","",F124*G124/15)</f>
        <v/>
      </c>
      <c r="I124" s="26" t="n"/>
      <c r="J124" s="26">
        <f>IF(H124="","",H124*I124)</f>
        <v/>
      </c>
      <c r="K124" s="26" t="n"/>
      <c r="L124" s="26">
        <f>IF(J124="","",J124+N(K124))</f>
        <v/>
      </c>
      <c r="M124" s="21" t="n"/>
    </row>
    <row r="125">
      <c r="A125" s="13" t="n"/>
      <c r="B125" s="14" t="n"/>
      <c r="C125" s="14" t="n"/>
      <c r="D125" s="14" t="n"/>
      <c r="E125" s="15" t="n"/>
      <c r="F125" s="16" t="n"/>
      <c r="G125" s="17" t="n">
        <v>0.52</v>
      </c>
      <c r="H125" s="18">
        <f>IF(F125="","",F125*G125/15)</f>
        <v/>
      </c>
      <c r="I125" s="19" t="n"/>
      <c r="J125" s="19">
        <f>IF(H125="","",H125*I125)</f>
        <v/>
      </c>
      <c r="K125" s="19" t="n"/>
      <c r="L125" s="19">
        <f>IF(J125="","",J125+N(K125))</f>
        <v/>
      </c>
      <c r="M125" s="14" t="n"/>
    </row>
    <row r="126">
      <c r="A126" s="20" t="n"/>
      <c r="B126" s="21" t="n"/>
      <c r="C126" s="21" t="n"/>
      <c r="D126" s="21" t="n"/>
      <c r="E126" s="22" t="n"/>
      <c r="F126" s="23" t="n"/>
      <c r="G126" s="24" t="n">
        <v>0.52</v>
      </c>
      <c r="H126" s="25">
        <f>IF(F126="","",F126*G126/15)</f>
        <v/>
      </c>
      <c r="I126" s="26" t="n"/>
      <c r="J126" s="26">
        <f>IF(H126="","",H126*I126)</f>
        <v/>
      </c>
      <c r="K126" s="26" t="n"/>
      <c r="L126" s="26">
        <f>IF(J126="","",J126+N(K126))</f>
        <v/>
      </c>
      <c r="M126" s="21" t="n"/>
    </row>
    <row r="127">
      <c r="A127" s="13" t="n"/>
      <c r="B127" s="14" t="n"/>
      <c r="C127" s="14" t="n"/>
      <c r="D127" s="14" t="n"/>
      <c r="E127" s="15" t="n"/>
      <c r="F127" s="16" t="n"/>
      <c r="G127" s="17" t="n">
        <v>0.52</v>
      </c>
      <c r="H127" s="18">
        <f>IF(F127="","",F127*G127/15)</f>
        <v/>
      </c>
      <c r="I127" s="19" t="n"/>
      <c r="J127" s="19">
        <f>IF(H127="","",H127*I127)</f>
        <v/>
      </c>
      <c r="K127" s="19" t="n"/>
      <c r="L127" s="19">
        <f>IF(J127="","",J127+N(K127))</f>
        <v/>
      </c>
      <c r="M127" s="14" t="n"/>
    </row>
    <row r="128">
      <c r="A128" s="20" t="n"/>
      <c r="B128" s="21" t="n"/>
      <c r="C128" s="21" t="n"/>
      <c r="D128" s="21" t="n"/>
      <c r="E128" s="22" t="n"/>
      <c r="F128" s="23" t="n"/>
      <c r="G128" s="24" t="n">
        <v>0.52</v>
      </c>
      <c r="H128" s="25">
        <f>IF(F128="","",F128*G128/15)</f>
        <v/>
      </c>
      <c r="I128" s="26" t="n"/>
      <c r="J128" s="26">
        <f>IF(H128="","",H128*I128)</f>
        <v/>
      </c>
      <c r="K128" s="26" t="n"/>
      <c r="L128" s="26">
        <f>IF(J128="","",J128+N(K128))</f>
        <v/>
      </c>
      <c r="M128" s="21" t="n"/>
    </row>
    <row r="129">
      <c r="A129" s="13" t="n"/>
      <c r="B129" s="14" t="n"/>
      <c r="C129" s="14" t="n"/>
      <c r="D129" s="14" t="n"/>
      <c r="E129" s="15" t="n"/>
      <c r="F129" s="16" t="n"/>
      <c r="G129" s="17" t="n">
        <v>0.52</v>
      </c>
      <c r="H129" s="18">
        <f>IF(F129="","",F129*G129/15)</f>
        <v/>
      </c>
      <c r="I129" s="19" t="n"/>
      <c r="J129" s="19">
        <f>IF(H129="","",H129*I129)</f>
        <v/>
      </c>
      <c r="K129" s="19" t="n"/>
      <c r="L129" s="19">
        <f>IF(J129="","",J129+N(K129))</f>
        <v/>
      </c>
      <c r="M129" s="14" t="n"/>
    </row>
    <row r="130">
      <c r="A130" s="20" t="n"/>
      <c r="B130" s="21" t="n"/>
      <c r="C130" s="21" t="n"/>
      <c r="D130" s="21" t="n"/>
      <c r="E130" s="22" t="n"/>
      <c r="F130" s="23" t="n"/>
      <c r="G130" s="24" t="n">
        <v>0.52</v>
      </c>
      <c r="H130" s="25">
        <f>IF(F130="","",F130*G130/15)</f>
        <v/>
      </c>
      <c r="I130" s="26" t="n"/>
      <c r="J130" s="26">
        <f>IF(H130="","",H130*I130)</f>
        <v/>
      </c>
      <c r="K130" s="26" t="n"/>
      <c r="L130" s="26">
        <f>IF(J130="","",J130+N(K130))</f>
        <v/>
      </c>
      <c r="M130" s="21" t="n"/>
    </row>
    <row r="131">
      <c r="A131" s="13" t="n"/>
      <c r="B131" s="14" t="n"/>
      <c r="C131" s="14" t="n"/>
      <c r="D131" s="14" t="n"/>
      <c r="E131" s="15" t="n"/>
      <c r="F131" s="16" t="n"/>
      <c r="G131" s="17" t="n">
        <v>0.52</v>
      </c>
      <c r="H131" s="18">
        <f>IF(F131="","",F131*G131/15)</f>
        <v/>
      </c>
      <c r="I131" s="19" t="n"/>
      <c r="J131" s="19">
        <f>IF(H131="","",H131*I131)</f>
        <v/>
      </c>
      <c r="K131" s="19" t="n"/>
      <c r="L131" s="19">
        <f>IF(J131="","",J131+N(K131))</f>
        <v/>
      </c>
      <c r="M131" s="14" t="n"/>
    </row>
    <row r="132">
      <c r="A132" s="20" t="n"/>
      <c r="B132" s="21" t="n"/>
      <c r="C132" s="21" t="n"/>
      <c r="D132" s="21" t="n"/>
      <c r="E132" s="22" t="n"/>
      <c r="F132" s="23" t="n"/>
      <c r="G132" s="24" t="n">
        <v>0.52</v>
      </c>
      <c r="H132" s="25">
        <f>IF(F132="","",F132*G132/15)</f>
        <v/>
      </c>
      <c r="I132" s="26" t="n"/>
      <c r="J132" s="26">
        <f>IF(H132="","",H132*I132)</f>
        <v/>
      </c>
      <c r="K132" s="26" t="n"/>
      <c r="L132" s="26">
        <f>IF(J132="","",J132+N(K132))</f>
        <v/>
      </c>
      <c r="M132" s="21" t="n"/>
    </row>
    <row r="133">
      <c r="A133" s="13" t="n"/>
      <c r="B133" s="14" t="n"/>
      <c r="C133" s="14" t="n"/>
      <c r="D133" s="14" t="n"/>
      <c r="E133" s="15" t="n"/>
      <c r="F133" s="16" t="n"/>
      <c r="G133" s="17" t="n">
        <v>0.52</v>
      </c>
      <c r="H133" s="18">
        <f>IF(F133="","",F133*G133/15)</f>
        <v/>
      </c>
      <c r="I133" s="19" t="n"/>
      <c r="J133" s="19">
        <f>IF(H133="","",H133*I133)</f>
        <v/>
      </c>
      <c r="K133" s="19" t="n"/>
      <c r="L133" s="19">
        <f>IF(J133="","",J133+N(K133))</f>
        <v/>
      </c>
      <c r="M133" s="14" t="n"/>
    </row>
    <row r="134">
      <c r="A134" s="20" t="n"/>
      <c r="B134" s="21" t="n"/>
      <c r="C134" s="21" t="n"/>
      <c r="D134" s="21" t="n"/>
      <c r="E134" s="22" t="n"/>
      <c r="F134" s="23" t="n"/>
      <c r="G134" s="24" t="n">
        <v>0.52</v>
      </c>
      <c r="H134" s="25">
        <f>IF(F134="","",F134*G134/15)</f>
        <v/>
      </c>
      <c r="I134" s="26" t="n"/>
      <c r="J134" s="26">
        <f>IF(H134="","",H134*I134)</f>
        <v/>
      </c>
      <c r="K134" s="26" t="n"/>
      <c r="L134" s="26">
        <f>IF(J134="","",J134+N(K134))</f>
        <v/>
      </c>
      <c r="M134" s="21" t="n"/>
    </row>
    <row r="135">
      <c r="A135" s="13" t="n"/>
      <c r="B135" s="14" t="n"/>
      <c r="C135" s="14" t="n"/>
      <c r="D135" s="14" t="n"/>
      <c r="E135" s="15" t="n"/>
      <c r="F135" s="16" t="n"/>
      <c r="G135" s="17" t="n">
        <v>0.52</v>
      </c>
      <c r="H135" s="18">
        <f>IF(F135="","",F135*G135/15)</f>
        <v/>
      </c>
      <c r="I135" s="19" t="n"/>
      <c r="J135" s="19">
        <f>IF(H135="","",H135*I135)</f>
        <v/>
      </c>
      <c r="K135" s="19" t="n"/>
      <c r="L135" s="19">
        <f>IF(J135="","",J135+N(K135))</f>
        <v/>
      </c>
      <c r="M135" s="14" t="n"/>
    </row>
    <row r="136">
      <c r="A136" s="20" t="n"/>
      <c r="B136" s="21" t="n"/>
      <c r="C136" s="21" t="n"/>
      <c r="D136" s="21" t="n"/>
      <c r="E136" s="22" t="n"/>
      <c r="F136" s="23" t="n"/>
      <c r="G136" s="24" t="n">
        <v>0.52</v>
      </c>
      <c r="H136" s="25">
        <f>IF(F136="","",F136*G136/15)</f>
        <v/>
      </c>
      <c r="I136" s="26" t="n"/>
      <c r="J136" s="26">
        <f>IF(H136="","",H136*I136)</f>
        <v/>
      </c>
      <c r="K136" s="26" t="n"/>
      <c r="L136" s="26">
        <f>IF(J136="","",J136+N(K136))</f>
        <v/>
      </c>
      <c r="M136" s="21" t="n"/>
    </row>
    <row r="137">
      <c r="A137" s="13" t="n"/>
      <c r="B137" s="14" t="n"/>
      <c r="C137" s="14" t="n"/>
      <c r="D137" s="14" t="n"/>
      <c r="E137" s="15" t="n"/>
      <c r="F137" s="16" t="n"/>
      <c r="G137" s="17" t="n">
        <v>0.52</v>
      </c>
      <c r="H137" s="18">
        <f>IF(F137="","",F137*G137/15)</f>
        <v/>
      </c>
      <c r="I137" s="19" t="n"/>
      <c r="J137" s="19">
        <f>IF(H137="","",H137*I137)</f>
        <v/>
      </c>
      <c r="K137" s="19" t="n"/>
      <c r="L137" s="19">
        <f>IF(J137="","",J137+N(K137))</f>
        <v/>
      </c>
      <c r="M137" s="14" t="n"/>
    </row>
    <row r="138">
      <c r="A138" s="20" t="n"/>
      <c r="B138" s="21" t="n"/>
      <c r="C138" s="21" t="n"/>
      <c r="D138" s="21" t="n"/>
      <c r="E138" s="22" t="n"/>
      <c r="F138" s="23" t="n"/>
      <c r="G138" s="24" t="n">
        <v>0.52</v>
      </c>
      <c r="H138" s="25">
        <f>IF(F138="","",F138*G138/15)</f>
        <v/>
      </c>
      <c r="I138" s="26" t="n"/>
      <c r="J138" s="26">
        <f>IF(H138="","",H138*I138)</f>
        <v/>
      </c>
      <c r="K138" s="26" t="n"/>
      <c r="L138" s="26">
        <f>IF(J138="","",J138+N(K138))</f>
        <v/>
      </c>
      <c r="M138" s="21" t="n"/>
    </row>
    <row r="139">
      <c r="A139" s="13" t="n"/>
      <c r="B139" s="14" t="n"/>
      <c r="C139" s="14" t="n"/>
      <c r="D139" s="14" t="n"/>
      <c r="E139" s="15" t="n"/>
      <c r="F139" s="16" t="n"/>
      <c r="G139" s="17" t="n">
        <v>0.52</v>
      </c>
      <c r="H139" s="18">
        <f>IF(F139="","",F139*G139/15)</f>
        <v/>
      </c>
      <c r="I139" s="19" t="n"/>
      <c r="J139" s="19">
        <f>IF(H139="","",H139*I139)</f>
        <v/>
      </c>
      <c r="K139" s="19" t="n"/>
      <c r="L139" s="19">
        <f>IF(J139="","",J139+N(K139))</f>
        <v/>
      </c>
      <c r="M139" s="14" t="n"/>
    </row>
    <row r="140">
      <c r="A140" s="20" t="n"/>
      <c r="B140" s="21" t="n"/>
      <c r="C140" s="21" t="n"/>
      <c r="D140" s="21" t="n"/>
      <c r="E140" s="22" t="n"/>
      <c r="F140" s="23" t="n"/>
      <c r="G140" s="24" t="n">
        <v>0.52</v>
      </c>
      <c r="H140" s="25">
        <f>IF(F140="","",F140*G140/15)</f>
        <v/>
      </c>
      <c r="I140" s="26" t="n"/>
      <c r="J140" s="26">
        <f>IF(H140="","",H140*I140)</f>
        <v/>
      </c>
      <c r="K140" s="26" t="n"/>
      <c r="L140" s="26">
        <f>IF(J140="","",J140+N(K140))</f>
        <v/>
      </c>
      <c r="M140" s="21" t="n"/>
    </row>
    <row r="141">
      <c r="A141" s="13" t="n"/>
      <c r="B141" s="14" t="n"/>
      <c r="C141" s="14" t="n"/>
      <c r="D141" s="14" t="n"/>
      <c r="E141" s="15" t="n"/>
      <c r="F141" s="16" t="n"/>
      <c r="G141" s="17" t="n">
        <v>0.52</v>
      </c>
      <c r="H141" s="18">
        <f>IF(F141="","",F141*G141/15)</f>
        <v/>
      </c>
      <c r="I141" s="19" t="n"/>
      <c r="J141" s="19">
        <f>IF(H141="","",H141*I141)</f>
        <v/>
      </c>
      <c r="K141" s="19" t="n"/>
      <c r="L141" s="19">
        <f>IF(J141="","",J141+N(K141))</f>
        <v/>
      </c>
      <c r="M141" s="14" t="n"/>
    </row>
    <row r="142">
      <c r="A142" s="20" t="n"/>
      <c r="B142" s="21" t="n"/>
      <c r="C142" s="21" t="n"/>
      <c r="D142" s="21" t="n"/>
      <c r="E142" s="22" t="n"/>
      <c r="F142" s="23" t="n"/>
      <c r="G142" s="24" t="n">
        <v>0.52</v>
      </c>
      <c r="H142" s="25">
        <f>IF(F142="","",F142*G142/15)</f>
        <v/>
      </c>
      <c r="I142" s="26" t="n"/>
      <c r="J142" s="26">
        <f>IF(H142="","",H142*I142)</f>
        <v/>
      </c>
      <c r="K142" s="26" t="n"/>
      <c r="L142" s="26">
        <f>IF(J142="","",J142+N(K142))</f>
        <v/>
      </c>
      <c r="M142" s="21" t="n"/>
    </row>
    <row r="143">
      <c r="A143" s="13" t="n"/>
      <c r="B143" s="14" t="n"/>
      <c r="C143" s="14" t="n"/>
      <c r="D143" s="14" t="n"/>
      <c r="E143" s="15" t="n"/>
      <c r="F143" s="16" t="n"/>
      <c r="G143" s="17" t="n">
        <v>0.52</v>
      </c>
      <c r="H143" s="18">
        <f>IF(F143="","",F143*G143/15)</f>
        <v/>
      </c>
      <c r="I143" s="19" t="n"/>
      <c r="J143" s="19">
        <f>IF(H143="","",H143*I143)</f>
        <v/>
      </c>
      <c r="K143" s="19" t="n"/>
      <c r="L143" s="19">
        <f>IF(J143="","",J143+N(K143))</f>
        <v/>
      </c>
      <c r="M143" s="14" t="n"/>
    </row>
    <row r="144">
      <c r="A144" s="20" t="n"/>
      <c r="B144" s="21" t="n"/>
      <c r="C144" s="21" t="n"/>
      <c r="D144" s="21" t="n"/>
      <c r="E144" s="22" t="n"/>
      <c r="F144" s="23" t="n"/>
      <c r="G144" s="24" t="n">
        <v>0.52</v>
      </c>
      <c r="H144" s="25">
        <f>IF(F144="","",F144*G144/15)</f>
        <v/>
      </c>
      <c r="I144" s="26" t="n"/>
      <c r="J144" s="26">
        <f>IF(H144="","",H144*I144)</f>
        <v/>
      </c>
      <c r="K144" s="26" t="n"/>
      <c r="L144" s="26">
        <f>IF(J144="","",J144+N(K144))</f>
        <v/>
      </c>
      <c r="M144" s="21" t="n"/>
    </row>
    <row r="145">
      <c r="A145" s="13" t="n"/>
      <c r="B145" s="14" t="n"/>
      <c r="C145" s="14" t="n"/>
      <c r="D145" s="14" t="n"/>
      <c r="E145" s="15" t="n"/>
      <c r="F145" s="16" t="n"/>
      <c r="G145" s="17" t="n">
        <v>0.52</v>
      </c>
      <c r="H145" s="18">
        <f>IF(F145="","",F145*G145/15)</f>
        <v/>
      </c>
      <c r="I145" s="19" t="n"/>
      <c r="J145" s="19">
        <f>IF(H145="","",H145*I145)</f>
        <v/>
      </c>
      <c r="K145" s="19" t="n"/>
      <c r="L145" s="19">
        <f>IF(J145="","",J145+N(K145))</f>
        <v/>
      </c>
      <c r="M145" s="14" t="n"/>
    </row>
    <row r="146">
      <c r="A146" s="20" t="n"/>
      <c r="B146" s="21" t="n"/>
      <c r="C146" s="21" t="n"/>
      <c r="D146" s="21" t="n"/>
      <c r="E146" s="22" t="n"/>
      <c r="F146" s="23" t="n"/>
      <c r="G146" s="24" t="n">
        <v>0.52</v>
      </c>
      <c r="H146" s="25">
        <f>IF(F146="","",F146*G146/15)</f>
        <v/>
      </c>
      <c r="I146" s="26" t="n"/>
      <c r="J146" s="26">
        <f>IF(H146="","",H146*I146)</f>
        <v/>
      </c>
      <c r="K146" s="26" t="n"/>
      <c r="L146" s="26">
        <f>IF(J146="","",J146+N(K146))</f>
        <v/>
      </c>
      <c r="M146" s="21" t="n"/>
    </row>
    <row r="147">
      <c r="A147" s="13" t="n"/>
      <c r="B147" s="14" t="n"/>
      <c r="C147" s="14" t="n"/>
      <c r="D147" s="14" t="n"/>
      <c r="E147" s="15" t="n"/>
      <c r="F147" s="16" t="n"/>
      <c r="G147" s="17" t="n">
        <v>0.52</v>
      </c>
      <c r="H147" s="18">
        <f>IF(F147="","",F147*G147/15)</f>
        <v/>
      </c>
      <c r="I147" s="19" t="n"/>
      <c r="J147" s="19">
        <f>IF(H147="","",H147*I147)</f>
        <v/>
      </c>
      <c r="K147" s="19" t="n"/>
      <c r="L147" s="19">
        <f>IF(J147="","",J147+N(K147))</f>
        <v/>
      </c>
      <c r="M147" s="14" t="n"/>
    </row>
    <row r="148">
      <c r="A148" s="20" t="n"/>
      <c r="B148" s="21" t="n"/>
      <c r="C148" s="21" t="n"/>
      <c r="D148" s="21" t="n"/>
      <c r="E148" s="22" t="n"/>
      <c r="F148" s="23" t="n"/>
      <c r="G148" s="24" t="n">
        <v>0.52</v>
      </c>
      <c r="H148" s="25">
        <f>IF(F148="","",F148*G148/15)</f>
        <v/>
      </c>
      <c r="I148" s="26" t="n"/>
      <c r="J148" s="26">
        <f>IF(H148="","",H148*I148)</f>
        <v/>
      </c>
      <c r="K148" s="26" t="n"/>
      <c r="L148" s="26">
        <f>IF(J148="","",J148+N(K148))</f>
        <v/>
      </c>
      <c r="M148" s="21" t="n"/>
    </row>
    <row r="149">
      <c r="A149" s="13" t="n"/>
      <c r="B149" s="14" t="n"/>
      <c r="C149" s="14" t="n"/>
      <c r="D149" s="14" t="n"/>
      <c r="E149" s="15" t="n"/>
      <c r="F149" s="16" t="n"/>
      <c r="G149" s="17" t="n">
        <v>0.52</v>
      </c>
      <c r="H149" s="18">
        <f>IF(F149="","",F149*G149/15)</f>
        <v/>
      </c>
      <c r="I149" s="19" t="n"/>
      <c r="J149" s="19">
        <f>IF(H149="","",H149*I149)</f>
        <v/>
      </c>
      <c r="K149" s="19" t="n"/>
      <c r="L149" s="19">
        <f>IF(J149="","",J149+N(K149))</f>
        <v/>
      </c>
      <c r="M149" s="14" t="n"/>
    </row>
    <row r="150">
      <c r="A150" s="20" t="n"/>
      <c r="B150" s="21" t="n"/>
      <c r="C150" s="21" t="n"/>
      <c r="D150" s="21" t="n"/>
      <c r="E150" s="22" t="n"/>
      <c r="F150" s="23" t="n"/>
      <c r="G150" s="24" t="n">
        <v>0.52</v>
      </c>
      <c r="H150" s="25">
        <f>IF(F150="","",F150*G150/15)</f>
        <v/>
      </c>
      <c r="I150" s="26" t="n"/>
      <c r="J150" s="26">
        <f>IF(H150="","",H150*I150)</f>
        <v/>
      </c>
      <c r="K150" s="26" t="n"/>
      <c r="L150" s="26">
        <f>IF(J150="","",J150+N(K150))</f>
        <v/>
      </c>
      <c r="M150" s="21" t="n"/>
    </row>
    <row r="151">
      <c r="A151" s="13" t="n"/>
      <c r="B151" s="14" t="n"/>
      <c r="C151" s="14" t="n"/>
      <c r="D151" s="14" t="n"/>
      <c r="E151" s="15" t="n"/>
      <c r="F151" s="16" t="n"/>
      <c r="G151" s="17" t="n">
        <v>0.52</v>
      </c>
      <c r="H151" s="18">
        <f>IF(F151="","",F151*G151/15)</f>
        <v/>
      </c>
      <c r="I151" s="19" t="n"/>
      <c r="J151" s="19">
        <f>IF(H151="","",H151*I151)</f>
        <v/>
      </c>
      <c r="K151" s="19" t="n"/>
      <c r="L151" s="19">
        <f>IF(J151="","",J151+N(K151))</f>
        <v/>
      </c>
      <c r="M151" s="14" t="n"/>
    </row>
    <row r="152">
      <c r="A152" s="20" t="n"/>
      <c r="B152" s="21" t="n"/>
      <c r="C152" s="21" t="n"/>
      <c r="D152" s="21" t="n"/>
      <c r="E152" s="22" t="n"/>
      <c r="F152" s="23" t="n"/>
      <c r="G152" s="24" t="n">
        <v>0.52</v>
      </c>
      <c r="H152" s="25">
        <f>IF(F152="","",F152*G152/15)</f>
        <v/>
      </c>
      <c r="I152" s="26" t="n"/>
      <c r="J152" s="26">
        <f>IF(H152="","",H152*I152)</f>
        <v/>
      </c>
      <c r="K152" s="26" t="n"/>
      <c r="L152" s="26">
        <f>IF(J152="","",J152+N(K152))</f>
        <v/>
      </c>
      <c r="M152" s="21" t="n"/>
    </row>
    <row r="153">
      <c r="A153" s="13" t="n"/>
      <c r="B153" s="14" t="n"/>
      <c r="C153" s="14" t="n"/>
      <c r="D153" s="14" t="n"/>
      <c r="E153" s="15" t="n"/>
      <c r="F153" s="16" t="n"/>
      <c r="G153" s="17" t="n">
        <v>0.52</v>
      </c>
      <c r="H153" s="18">
        <f>IF(F153="","",F153*G153/15)</f>
        <v/>
      </c>
      <c r="I153" s="19" t="n"/>
      <c r="J153" s="19">
        <f>IF(H153="","",H153*I153)</f>
        <v/>
      </c>
      <c r="K153" s="19" t="n"/>
      <c r="L153" s="19">
        <f>IF(J153="","",J153+N(K153))</f>
        <v/>
      </c>
      <c r="M153" s="14" t="n"/>
    </row>
    <row r="154">
      <c r="A154" s="20" t="n"/>
      <c r="B154" s="21" t="n"/>
      <c r="C154" s="21" t="n"/>
      <c r="D154" s="21" t="n"/>
      <c r="E154" s="22" t="n"/>
      <c r="F154" s="23" t="n"/>
      <c r="G154" s="24" t="n">
        <v>0.52</v>
      </c>
      <c r="H154" s="25">
        <f>IF(F154="","",F154*G154/15)</f>
        <v/>
      </c>
      <c r="I154" s="26" t="n"/>
      <c r="J154" s="26">
        <f>IF(H154="","",H154*I154)</f>
        <v/>
      </c>
      <c r="K154" s="26" t="n"/>
      <c r="L154" s="26">
        <f>IF(J154="","",J154+N(K154))</f>
        <v/>
      </c>
      <c r="M154" s="21" t="n"/>
    </row>
    <row r="155">
      <c r="A155" s="13" t="n"/>
      <c r="B155" s="14" t="n"/>
      <c r="C155" s="14" t="n"/>
      <c r="D155" s="14" t="n"/>
      <c r="E155" s="15" t="n"/>
      <c r="F155" s="16" t="n"/>
      <c r="G155" s="17" t="n">
        <v>0.52</v>
      </c>
      <c r="H155" s="18">
        <f>IF(F155="","",F155*G155/15)</f>
        <v/>
      </c>
      <c r="I155" s="19" t="n"/>
      <c r="J155" s="19">
        <f>IF(H155="","",H155*I155)</f>
        <v/>
      </c>
      <c r="K155" s="19" t="n"/>
      <c r="L155" s="19">
        <f>IF(J155="","",J155+N(K155))</f>
        <v/>
      </c>
      <c r="M155" s="14" t="n"/>
    </row>
    <row r="156">
      <c r="A156" s="20" t="n"/>
      <c r="B156" s="21" t="n"/>
      <c r="C156" s="21" t="n"/>
      <c r="D156" s="21" t="n"/>
      <c r="E156" s="22" t="n"/>
      <c r="F156" s="23" t="n"/>
      <c r="G156" s="24" t="n">
        <v>0.52</v>
      </c>
      <c r="H156" s="25">
        <f>IF(F156="","",F156*G156/15)</f>
        <v/>
      </c>
      <c r="I156" s="26" t="n"/>
      <c r="J156" s="26">
        <f>IF(H156="","",H156*I156)</f>
        <v/>
      </c>
      <c r="K156" s="26" t="n"/>
      <c r="L156" s="26">
        <f>IF(J156="","",J156+N(K156))</f>
        <v/>
      </c>
      <c r="M156" s="21" t="n"/>
    </row>
    <row r="157">
      <c r="A157" s="13" t="n"/>
      <c r="B157" s="14" t="n"/>
      <c r="C157" s="14" t="n"/>
      <c r="D157" s="14" t="n"/>
      <c r="E157" s="15" t="n"/>
      <c r="F157" s="16" t="n"/>
      <c r="G157" s="17" t="n">
        <v>0.52</v>
      </c>
      <c r="H157" s="18">
        <f>IF(F157="","",F157*G157/15)</f>
        <v/>
      </c>
      <c r="I157" s="19" t="n"/>
      <c r="J157" s="19">
        <f>IF(H157="","",H157*I157)</f>
        <v/>
      </c>
      <c r="K157" s="19" t="n"/>
      <c r="L157" s="19">
        <f>IF(J157="","",J157+N(K157))</f>
        <v/>
      </c>
      <c r="M157" s="14" t="n"/>
    </row>
    <row r="158">
      <c r="A158" s="20" t="n"/>
      <c r="B158" s="21" t="n"/>
      <c r="C158" s="21" t="n"/>
      <c r="D158" s="21" t="n"/>
      <c r="E158" s="22" t="n"/>
      <c r="F158" s="23" t="n"/>
      <c r="G158" s="24" t="n">
        <v>0.52</v>
      </c>
      <c r="H158" s="25">
        <f>IF(F158="","",F158*G158/15)</f>
        <v/>
      </c>
      <c r="I158" s="26" t="n"/>
      <c r="J158" s="26">
        <f>IF(H158="","",H158*I158)</f>
        <v/>
      </c>
      <c r="K158" s="26" t="n"/>
      <c r="L158" s="26">
        <f>IF(J158="","",J158+N(K158))</f>
        <v/>
      </c>
      <c r="M158" s="21" t="n"/>
    </row>
    <row r="159">
      <c r="A159" s="13" t="n"/>
      <c r="B159" s="14" t="n"/>
      <c r="C159" s="14" t="n"/>
      <c r="D159" s="14" t="n"/>
      <c r="E159" s="15" t="n"/>
      <c r="F159" s="16" t="n"/>
      <c r="G159" s="17" t="n">
        <v>0.52</v>
      </c>
      <c r="H159" s="18">
        <f>IF(F159="","",F159*G159/15)</f>
        <v/>
      </c>
      <c r="I159" s="19" t="n"/>
      <c r="J159" s="19">
        <f>IF(H159="","",H159*I159)</f>
        <v/>
      </c>
      <c r="K159" s="19" t="n"/>
      <c r="L159" s="19">
        <f>IF(J159="","",J159+N(K159))</f>
        <v/>
      </c>
      <c r="M159" s="14" t="n"/>
    </row>
    <row r="160">
      <c r="A160" s="20" t="n"/>
      <c r="B160" s="21" t="n"/>
      <c r="C160" s="21" t="n"/>
      <c r="D160" s="21" t="n"/>
      <c r="E160" s="22" t="n"/>
      <c r="F160" s="23" t="n"/>
      <c r="G160" s="24" t="n">
        <v>0.52</v>
      </c>
      <c r="H160" s="25">
        <f>IF(F160="","",F160*G160/15)</f>
        <v/>
      </c>
      <c r="I160" s="26" t="n"/>
      <c r="J160" s="26">
        <f>IF(H160="","",H160*I160)</f>
        <v/>
      </c>
      <c r="K160" s="26" t="n"/>
      <c r="L160" s="26">
        <f>IF(J160="","",J160+N(K160))</f>
        <v/>
      </c>
      <c r="M160" s="21" t="n"/>
    </row>
    <row r="161">
      <c r="A161" s="13" t="n"/>
      <c r="B161" s="14" t="n"/>
      <c r="C161" s="14" t="n"/>
      <c r="D161" s="14" t="n"/>
      <c r="E161" s="15" t="n"/>
      <c r="F161" s="16" t="n"/>
      <c r="G161" s="17" t="n">
        <v>0.52</v>
      </c>
      <c r="H161" s="18">
        <f>IF(F161="","",F161*G161/15)</f>
        <v/>
      </c>
      <c r="I161" s="19" t="n"/>
      <c r="J161" s="19">
        <f>IF(H161="","",H161*I161)</f>
        <v/>
      </c>
      <c r="K161" s="19" t="n"/>
      <c r="L161" s="19">
        <f>IF(J161="","",J161+N(K161))</f>
        <v/>
      </c>
      <c r="M161" s="14" t="n"/>
    </row>
    <row r="162">
      <c r="A162" s="20" t="n"/>
      <c r="B162" s="21" t="n"/>
      <c r="C162" s="21" t="n"/>
      <c r="D162" s="21" t="n"/>
      <c r="E162" s="22" t="n"/>
      <c r="F162" s="23" t="n"/>
      <c r="G162" s="24" t="n">
        <v>0.52</v>
      </c>
      <c r="H162" s="25">
        <f>IF(F162="","",F162*G162/15)</f>
        <v/>
      </c>
      <c r="I162" s="26" t="n"/>
      <c r="J162" s="26">
        <f>IF(H162="","",H162*I162)</f>
        <v/>
      </c>
      <c r="K162" s="26" t="n"/>
      <c r="L162" s="26">
        <f>IF(J162="","",J162+N(K162))</f>
        <v/>
      </c>
      <c r="M162" s="21" t="n"/>
    </row>
    <row r="163">
      <c r="A163" s="13" t="n"/>
      <c r="B163" s="14" t="n"/>
      <c r="C163" s="14" t="n"/>
      <c r="D163" s="14" t="n"/>
      <c r="E163" s="15" t="n"/>
      <c r="F163" s="16" t="n"/>
      <c r="G163" s="17" t="n">
        <v>0.52</v>
      </c>
      <c r="H163" s="18">
        <f>IF(F163="","",F163*G163/15)</f>
        <v/>
      </c>
      <c r="I163" s="19" t="n"/>
      <c r="J163" s="19">
        <f>IF(H163="","",H163*I163)</f>
        <v/>
      </c>
      <c r="K163" s="19" t="n"/>
      <c r="L163" s="19">
        <f>IF(J163="","",J163+N(K163))</f>
        <v/>
      </c>
      <c r="M163" s="14" t="n"/>
    </row>
    <row r="164">
      <c r="A164" s="20" t="n"/>
      <c r="B164" s="21" t="n"/>
      <c r="C164" s="21" t="n"/>
      <c r="D164" s="21" t="n"/>
      <c r="E164" s="22" t="n"/>
      <c r="F164" s="23" t="n"/>
      <c r="G164" s="24" t="n">
        <v>0.52</v>
      </c>
      <c r="H164" s="25">
        <f>IF(F164="","",F164*G164/15)</f>
        <v/>
      </c>
      <c r="I164" s="26" t="n"/>
      <c r="J164" s="26">
        <f>IF(H164="","",H164*I164)</f>
        <v/>
      </c>
      <c r="K164" s="26" t="n"/>
      <c r="L164" s="26">
        <f>IF(J164="","",J164+N(K164))</f>
        <v/>
      </c>
      <c r="M164" s="21" t="n"/>
    </row>
    <row r="165">
      <c r="A165" s="13" t="n"/>
      <c r="B165" s="14" t="n"/>
      <c r="C165" s="14" t="n"/>
      <c r="D165" s="14" t="n"/>
      <c r="E165" s="15" t="n"/>
      <c r="F165" s="16" t="n"/>
      <c r="G165" s="17" t="n">
        <v>0.52</v>
      </c>
      <c r="H165" s="18">
        <f>IF(F165="","",F165*G165/15)</f>
        <v/>
      </c>
      <c r="I165" s="19" t="n"/>
      <c r="J165" s="19">
        <f>IF(H165="","",H165*I165)</f>
        <v/>
      </c>
      <c r="K165" s="19" t="n"/>
      <c r="L165" s="19">
        <f>IF(J165="","",J165+N(K165))</f>
        <v/>
      </c>
      <c r="M165" s="14" t="n"/>
    </row>
    <row r="166">
      <c r="A166" s="20" t="n"/>
      <c r="B166" s="21" t="n"/>
      <c r="C166" s="21" t="n"/>
      <c r="D166" s="21" t="n"/>
      <c r="E166" s="22" t="n"/>
      <c r="F166" s="23" t="n"/>
      <c r="G166" s="24" t="n">
        <v>0.52</v>
      </c>
      <c r="H166" s="25">
        <f>IF(F166="","",F166*G166/15)</f>
        <v/>
      </c>
      <c r="I166" s="26" t="n"/>
      <c r="J166" s="26">
        <f>IF(H166="","",H166*I166)</f>
        <v/>
      </c>
      <c r="K166" s="26" t="n"/>
      <c r="L166" s="26">
        <f>IF(J166="","",J166+N(K166))</f>
        <v/>
      </c>
      <c r="M166" s="21" t="n"/>
    </row>
    <row r="167">
      <c r="A167" s="13" t="n"/>
      <c r="B167" s="14" t="n"/>
      <c r="C167" s="14" t="n"/>
      <c r="D167" s="14" t="n"/>
      <c r="E167" s="15" t="n"/>
      <c r="F167" s="16" t="n"/>
      <c r="G167" s="17" t="n">
        <v>0.52</v>
      </c>
      <c r="H167" s="18">
        <f>IF(F167="","",F167*G167/15)</f>
        <v/>
      </c>
      <c r="I167" s="19" t="n"/>
      <c r="J167" s="19">
        <f>IF(H167="","",H167*I167)</f>
        <v/>
      </c>
      <c r="K167" s="19" t="n"/>
      <c r="L167" s="19">
        <f>IF(J167="","",J167+N(K167))</f>
        <v/>
      </c>
      <c r="M167" s="14" t="n"/>
    </row>
    <row r="168">
      <c r="A168" s="20" t="n"/>
      <c r="B168" s="21" t="n"/>
      <c r="C168" s="21" t="n"/>
      <c r="D168" s="21" t="n"/>
      <c r="E168" s="22" t="n"/>
      <c r="F168" s="23" t="n"/>
      <c r="G168" s="24" t="n">
        <v>0.52</v>
      </c>
      <c r="H168" s="25">
        <f>IF(F168="","",F168*G168/15)</f>
        <v/>
      </c>
      <c r="I168" s="26" t="n"/>
      <c r="J168" s="26">
        <f>IF(H168="","",H168*I168)</f>
        <v/>
      </c>
      <c r="K168" s="26" t="n"/>
      <c r="L168" s="26">
        <f>IF(J168="","",J168+N(K168))</f>
        <v/>
      </c>
      <c r="M168" s="21" t="n"/>
    </row>
    <row r="169">
      <c r="A169" s="13" t="n"/>
      <c r="B169" s="14" t="n"/>
      <c r="C169" s="14" t="n"/>
      <c r="D169" s="14" t="n"/>
      <c r="E169" s="15" t="n"/>
      <c r="F169" s="16" t="n"/>
      <c r="G169" s="17" t="n">
        <v>0.52</v>
      </c>
      <c r="H169" s="18">
        <f>IF(F169="","",F169*G169/15)</f>
        <v/>
      </c>
      <c r="I169" s="19" t="n"/>
      <c r="J169" s="19">
        <f>IF(H169="","",H169*I169)</f>
        <v/>
      </c>
      <c r="K169" s="19" t="n"/>
      <c r="L169" s="19">
        <f>IF(J169="","",J169+N(K169))</f>
        <v/>
      </c>
      <c r="M169" s="14" t="n"/>
    </row>
    <row r="170">
      <c r="A170" s="20" t="n"/>
      <c r="B170" s="21" t="n"/>
      <c r="C170" s="21" t="n"/>
      <c r="D170" s="21" t="n"/>
      <c r="E170" s="22" t="n"/>
      <c r="F170" s="23" t="n"/>
      <c r="G170" s="24" t="n">
        <v>0.52</v>
      </c>
      <c r="H170" s="25">
        <f>IF(F170="","",F170*G170/15)</f>
        <v/>
      </c>
      <c r="I170" s="26" t="n"/>
      <c r="J170" s="26">
        <f>IF(H170="","",H170*I170)</f>
        <v/>
      </c>
      <c r="K170" s="26" t="n"/>
      <c r="L170" s="26">
        <f>IF(J170="","",J170+N(K170))</f>
        <v/>
      </c>
      <c r="M170" s="21" t="n"/>
    </row>
    <row r="171">
      <c r="A171" s="13" t="n"/>
      <c r="B171" s="14" t="n"/>
      <c r="C171" s="14" t="n"/>
      <c r="D171" s="14" t="n"/>
      <c r="E171" s="15" t="n"/>
      <c r="F171" s="16" t="n"/>
      <c r="G171" s="17" t="n">
        <v>0.52</v>
      </c>
      <c r="H171" s="18">
        <f>IF(F171="","",F171*G171/15)</f>
        <v/>
      </c>
      <c r="I171" s="19" t="n"/>
      <c r="J171" s="19">
        <f>IF(H171="","",H171*I171)</f>
        <v/>
      </c>
      <c r="K171" s="19" t="n"/>
      <c r="L171" s="19">
        <f>IF(J171="","",J171+N(K171))</f>
        <v/>
      </c>
      <c r="M171" s="14" t="n"/>
    </row>
    <row r="172">
      <c r="A172" s="20" t="n"/>
      <c r="B172" s="21" t="n"/>
      <c r="C172" s="21" t="n"/>
      <c r="D172" s="21" t="n"/>
      <c r="E172" s="22" t="n"/>
      <c r="F172" s="23" t="n"/>
      <c r="G172" s="24" t="n">
        <v>0.52</v>
      </c>
      <c r="H172" s="25">
        <f>IF(F172="","",F172*G172/15)</f>
        <v/>
      </c>
      <c r="I172" s="26" t="n"/>
      <c r="J172" s="26">
        <f>IF(H172="","",H172*I172)</f>
        <v/>
      </c>
      <c r="K172" s="26" t="n"/>
      <c r="L172" s="26">
        <f>IF(J172="","",J172+N(K172))</f>
        <v/>
      </c>
      <c r="M172" s="21" t="n"/>
    </row>
    <row r="173">
      <c r="A173" s="13" t="n"/>
      <c r="B173" s="14" t="n"/>
      <c r="C173" s="14" t="n"/>
      <c r="D173" s="14" t="n"/>
      <c r="E173" s="15" t="n"/>
      <c r="F173" s="16" t="n"/>
      <c r="G173" s="17" t="n">
        <v>0.52</v>
      </c>
      <c r="H173" s="18">
        <f>IF(F173="","",F173*G173/15)</f>
        <v/>
      </c>
      <c r="I173" s="19" t="n"/>
      <c r="J173" s="19">
        <f>IF(H173="","",H173*I173)</f>
        <v/>
      </c>
      <c r="K173" s="19" t="n"/>
      <c r="L173" s="19">
        <f>IF(J173="","",J173+N(K173))</f>
        <v/>
      </c>
      <c r="M173" s="14" t="n"/>
    </row>
    <row r="174">
      <c r="A174" s="20" t="n"/>
      <c r="B174" s="21" t="n"/>
      <c r="C174" s="21" t="n"/>
      <c r="D174" s="21" t="n"/>
      <c r="E174" s="22" t="n"/>
      <c r="F174" s="23" t="n"/>
      <c r="G174" s="24" t="n">
        <v>0.52</v>
      </c>
      <c r="H174" s="25">
        <f>IF(F174="","",F174*G174/15)</f>
        <v/>
      </c>
      <c r="I174" s="26" t="n"/>
      <c r="J174" s="26">
        <f>IF(H174="","",H174*I174)</f>
        <v/>
      </c>
      <c r="K174" s="26" t="n"/>
      <c r="L174" s="26">
        <f>IF(J174="","",J174+N(K174))</f>
        <v/>
      </c>
      <c r="M174" s="21" t="n"/>
    </row>
    <row r="175">
      <c r="A175" s="13" t="n"/>
      <c r="B175" s="14" t="n"/>
      <c r="C175" s="14" t="n"/>
      <c r="D175" s="14" t="n"/>
      <c r="E175" s="15" t="n"/>
      <c r="F175" s="16" t="n"/>
      <c r="G175" s="17" t="n">
        <v>0.52</v>
      </c>
      <c r="H175" s="18">
        <f>IF(F175="","",F175*G175/15)</f>
        <v/>
      </c>
      <c r="I175" s="19" t="n"/>
      <c r="J175" s="19">
        <f>IF(H175="","",H175*I175)</f>
        <v/>
      </c>
      <c r="K175" s="19" t="n"/>
      <c r="L175" s="19">
        <f>IF(J175="","",J175+N(K175))</f>
        <v/>
      </c>
      <c r="M175" s="14" t="n"/>
    </row>
    <row r="176">
      <c r="A176" s="20" t="n"/>
      <c r="B176" s="21" t="n"/>
      <c r="C176" s="21" t="n"/>
      <c r="D176" s="21" t="n"/>
      <c r="E176" s="22" t="n"/>
      <c r="F176" s="23" t="n"/>
      <c r="G176" s="24" t="n">
        <v>0.52</v>
      </c>
      <c r="H176" s="25">
        <f>IF(F176="","",F176*G176/15)</f>
        <v/>
      </c>
      <c r="I176" s="26" t="n"/>
      <c r="J176" s="26">
        <f>IF(H176="","",H176*I176)</f>
        <v/>
      </c>
      <c r="K176" s="26" t="n"/>
      <c r="L176" s="26">
        <f>IF(J176="","",J176+N(K176))</f>
        <v/>
      </c>
      <c r="M176" s="21" t="n"/>
    </row>
    <row r="177">
      <c r="A177" s="13" t="n"/>
      <c r="B177" s="14" t="n"/>
      <c r="C177" s="14" t="n"/>
      <c r="D177" s="14" t="n"/>
      <c r="E177" s="15" t="n"/>
      <c r="F177" s="16" t="n"/>
      <c r="G177" s="17" t="n">
        <v>0.52</v>
      </c>
      <c r="H177" s="18">
        <f>IF(F177="","",F177*G177/15)</f>
        <v/>
      </c>
      <c r="I177" s="19" t="n"/>
      <c r="J177" s="19">
        <f>IF(H177="","",H177*I177)</f>
        <v/>
      </c>
      <c r="K177" s="19" t="n"/>
      <c r="L177" s="19">
        <f>IF(J177="","",J177+N(K177))</f>
        <v/>
      </c>
      <c r="M177" s="14" t="n"/>
    </row>
    <row r="178">
      <c r="A178" s="20" t="n"/>
      <c r="B178" s="21" t="n"/>
      <c r="C178" s="21" t="n"/>
      <c r="D178" s="21" t="n"/>
      <c r="E178" s="22" t="n"/>
      <c r="F178" s="23" t="n"/>
      <c r="G178" s="24" t="n">
        <v>0.52</v>
      </c>
      <c r="H178" s="25">
        <f>IF(F178="","",F178*G178/15)</f>
        <v/>
      </c>
      <c r="I178" s="26" t="n"/>
      <c r="J178" s="26">
        <f>IF(H178="","",H178*I178)</f>
        <v/>
      </c>
      <c r="K178" s="26" t="n"/>
      <c r="L178" s="26">
        <f>IF(J178="","",J178+N(K178))</f>
        <v/>
      </c>
      <c r="M178" s="21" t="n"/>
    </row>
    <row r="179">
      <c r="A179" s="13" t="n"/>
      <c r="B179" s="14" t="n"/>
      <c r="C179" s="14" t="n"/>
      <c r="D179" s="14" t="n"/>
      <c r="E179" s="15" t="n"/>
      <c r="F179" s="16" t="n"/>
      <c r="G179" s="17" t="n">
        <v>0.52</v>
      </c>
      <c r="H179" s="18">
        <f>IF(F179="","",F179*G179/15)</f>
        <v/>
      </c>
      <c r="I179" s="19" t="n"/>
      <c r="J179" s="19">
        <f>IF(H179="","",H179*I179)</f>
        <v/>
      </c>
      <c r="K179" s="19" t="n"/>
      <c r="L179" s="19">
        <f>IF(J179="","",J179+N(K179))</f>
        <v/>
      </c>
      <c r="M179" s="14" t="n"/>
    </row>
    <row r="180">
      <c r="A180" s="20" t="n"/>
      <c r="B180" s="21" t="n"/>
      <c r="C180" s="21" t="n"/>
      <c r="D180" s="21" t="n"/>
      <c r="E180" s="22" t="n"/>
      <c r="F180" s="23" t="n"/>
      <c r="G180" s="24" t="n">
        <v>0.52</v>
      </c>
      <c r="H180" s="25">
        <f>IF(F180="","",F180*G180/15)</f>
        <v/>
      </c>
      <c r="I180" s="26" t="n"/>
      <c r="J180" s="26">
        <f>IF(H180="","",H180*I180)</f>
        <v/>
      </c>
      <c r="K180" s="26" t="n"/>
      <c r="L180" s="26">
        <f>IF(J180="","",J180+N(K180))</f>
        <v/>
      </c>
      <c r="M180" s="21" t="n"/>
    </row>
    <row r="181">
      <c r="A181" s="13" t="n"/>
      <c r="B181" s="14" t="n"/>
      <c r="C181" s="14" t="n"/>
      <c r="D181" s="14" t="n"/>
      <c r="E181" s="15" t="n"/>
      <c r="F181" s="16" t="n"/>
      <c r="G181" s="17" t="n">
        <v>0.52</v>
      </c>
      <c r="H181" s="18">
        <f>IF(F181="","",F181*G181/15)</f>
        <v/>
      </c>
      <c r="I181" s="19" t="n"/>
      <c r="J181" s="19">
        <f>IF(H181="","",H181*I181)</f>
        <v/>
      </c>
      <c r="K181" s="19" t="n"/>
      <c r="L181" s="19">
        <f>IF(J181="","",J181+N(K181))</f>
        <v/>
      </c>
      <c r="M181" s="14" t="n"/>
    </row>
    <row r="182">
      <c r="A182" s="20" t="n"/>
      <c r="B182" s="21" t="n"/>
      <c r="C182" s="21" t="n"/>
      <c r="D182" s="21" t="n"/>
      <c r="E182" s="22" t="n"/>
      <c r="F182" s="23" t="n"/>
      <c r="G182" s="24" t="n">
        <v>0.52</v>
      </c>
      <c r="H182" s="25">
        <f>IF(F182="","",F182*G182/15)</f>
        <v/>
      </c>
      <c r="I182" s="26" t="n"/>
      <c r="J182" s="26">
        <f>IF(H182="","",H182*I182)</f>
        <v/>
      </c>
      <c r="K182" s="26" t="n"/>
      <c r="L182" s="26">
        <f>IF(J182="","",J182+N(K182))</f>
        <v/>
      </c>
      <c r="M182" s="21" t="n"/>
    </row>
    <row r="183">
      <c r="A183" s="13" t="n"/>
      <c r="B183" s="14" t="n"/>
      <c r="C183" s="14" t="n"/>
      <c r="D183" s="14" t="n"/>
      <c r="E183" s="15" t="n"/>
      <c r="F183" s="16" t="n"/>
      <c r="G183" s="17" t="n">
        <v>0.52</v>
      </c>
      <c r="H183" s="18">
        <f>IF(F183="","",F183*G183/15)</f>
        <v/>
      </c>
      <c r="I183" s="19" t="n"/>
      <c r="J183" s="19">
        <f>IF(H183="","",H183*I183)</f>
        <v/>
      </c>
      <c r="K183" s="19" t="n"/>
      <c r="L183" s="19">
        <f>IF(J183="","",J183+N(K183))</f>
        <v/>
      </c>
      <c r="M183" s="14" t="n"/>
    </row>
    <row r="184">
      <c r="A184" s="20" t="n"/>
      <c r="B184" s="21" t="n"/>
      <c r="C184" s="21" t="n"/>
      <c r="D184" s="21" t="n"/>
      <c r="E184" s="22" t="n"/>
      <c r="F184" s="23" t="n"/>
      <c r="G184" s="24" t="n">
        <v>0.52</v>
      </c>
      <c r="H184" s="25">
        <f>IF(F184="","",F184*G184/15)</f>
        <v/>
      </c>
      <c r="I184" s="26" t="n"/>
      <c r="J184" s="26">
        <f>IF(H184="","",H184*I184)</f>
        <v/>
      </c>
      <c r="K184" s="26" t="n"/>
      <c r="L184" s="26">
        <f>IF(J184="","",J184+N(K184))</f>
        <v/>
      </c>
      <c r="M184" s="21" t="n"/>
    </row>
    <row r="185">
      <c r="A185" s="13" t="n"/>
      <c r="B185" s="14" t="n"/>
      <c r="C185" s="14" t="n"/>
      <c r="D185" s="14" t="n"/>
      <c r="E185" s="15" t="n"/>
      <c r="F185" s="16" t="n"/>
      <c r="G185" s="17" t="n">
        <v>0.52</v>
      </c>
      <c r="H185" s="18">
        <f>IF(F185="","",F185*G185/15)</f>
        <v/>
      </c>
      <c r="I185" s="19" t="n"/>
      <c r="J185" s="19">
        <f>IF(H185="","",H185*I185)</f>
        <v/>
      </c>
      <c r="K185" s="19" t="n"/>
      <c r="L185" s="19">
        <f>IF(J185="","",J185+N(K185))</f>
        <v/>
      </c>
      <c r="M185" s="14" t="n"/>
    </row>
    <row r="186">
      <c r="A186" s="20" t="n"/>
      <c r="B186" s="21" t="n"/>
      <c r="C186" s="21" t="n"/>
      <c r="D186" s="21" t="n"/>
      <c r="E186" s="22" t="n"/>
      <c r="F186" s="23" t="n"/>
      <c r="G186" s="24" t="n">
        <v>0.52</v>
      </c>
      <c r="H186" s="25">
        <f>IF(F186="","",F186*G186/15)</f>
        <v/>
      </c>
      <c r="I186" s="26" t="n"/>
      <c r="J186" s="26">
        <f>IF(H186="","",H186*I186)</f>
        <v/>
      </c>
      <c r="K186" s="26" t="n"/>
      <c r="L186" s="26">
        <f>IF(J186="","",J186+N(K186))</f>
        <v/>
      </c>
      <c r="M186" s="21" t="n"/>
    </row>
    <row r="187">
      <c r="A187" s="13" t="n"/>
      <c r="B187" s="14" t="n"/>
      <c r="C187" s="14" t="n"/>
      <c r="D187" s="14" t="n"/>
      <c r="E187" s="15" t="n"/>
      <c r="F187" s="16" t="n"/>
      <c r="G187" s="17" t="n">
        <v>0.52</v>
      </c>
      <c r="H187" s="18">
        <f>IF(F187="","",F187*G187/15)</f>
        <v/>
      </c>
      <c r="I187" s="19" t="n"/>
      <c r="J187" s="19">
        <f>IF(H187="","",H187*I187)</f>
        <v/>
      </c>
      <c r="K187" s="19" t="n"/>
      <c r="L187" s="19">
        <f>IF(J187="","",J187+N(K187))</f>
        <v/>
      </c>
      <c r="M187" s="14" t="n"/>
    </row>
    <row r="188">
      <c r="A188" s="20" t="n"/>
      <c r="B188" s="21" t="n"/>
      <c r="C188" s="21" t="n"/>
      <c r="D188" s="21" t="n"/>
      <c r="E188" s="22" t="n"/>
      <c r="F188" s="23" t="n"/>
      <c r="G188" s="24" t="n">
        <v>0.52</v>
      </c>
      <c r="H188" s="25">
        <f>IF(F188="","",F188*G188/15)</f>
        <v/>
      </c>
      <c r="I188" s="26" t="n"/>
      <c r="J188" s="26">
        <f>IF(H188="","",H188*I188)</f>
        <v/>
      </c>
      <c r="K188" s="26" t="n"/>
      <c r="L188" s="26">
        <f>IF(J188="","",J188+N(K188))</f>
        <v/>
      </c>
      <c r="M188" s="21" t="n"/>
    </row>
    <row r="189">
      <c r="A189" s="13" t="n"/>
      <c r="B189" s="14" t="n"/>
      <c r="C189" s="14" t="n"/>
      <c r="D189" s="14" t="n"/>
      <c r="E189" s="15" t="n"/>
      <c r="F189" s="16" t="n"/>
      <c r="G189" s="17" t="n">
        <v>0.52</v>
      </c>
      <c r="H189" s="18">
        <f>IF(F189="","",F189*G189/15)</f>
        <v/>
      </c>
      <c r="I189" s="19" t="n"/>
      <c r="J189" s="19">
        <f>IF(H189="","",H189*I189)</f>
        <v/>
      </c>
      <c r="K189" s="19" t="n"/>
      <c r="L189" s="19">
        <f>IF(J189="","",J189+N(K189))</f>
        <v/>
      </c>
      <c r="M189" s="14" t="n"/>
    </row>
    <row r="190">
      <c r="A190" s="20" t="n"/>
      <c r="B190" s="21" t="n"/>
      <c r="C190" s="21" t="n"/>
      <c r="D190" s="21" t="n"/>
      <c r="E190" s="22" t="n"/>
      <c r="F190" s="23" t="n"/>
      <c r="G190" s="24" t="n">
        <v>0.52</v>
      </c>
      <c r="H190" s="25">
        <f>IF(F190="","",F190*G190/15)</f>
        <v/>
      </c>
      <c r="I190" s="26" t="n"/>
      <c r="J190" s="26">
        <f>IF(H190="","",H190*I190)</f>
        <v/>
      </c>
      <c r="K190" s="26" t="n"/>
      <c r="L190" s="26">
        <f>IF(J190="","",J190+N(K190))</f>
        <v/>
      </c>
      <c r="M190" s="21" t="n"/>
    </row>
    <row r="191">
      <c r="A191" s="13" t="n"/>
      <c r="B191" s="14" t="n"/>
      <c r="C191" s="14" t="n"/>
      <c r="D191" s="14" t="n"/>
      <c r="E191" s="15" t="n"/>
      <c r="F191" s="16" t="n"/>
      <c r="G191" s="17" t="n">
        <v>0.52</v>
      </c>
      <c r="H191" s="18">
        <f>IF(F191="","",F191*G191/15)</f>
        <v/>
      </c>
      <c r="I191" s="19" t="n"/>
      <c r="J191" s="19">
        <f>IF(H191="","",H191*I191)</f>
        <v/>
      </c>
      <c r="K191" s="19" t="n"/>
      <c r="L191" s="19">
        <f>IF(J191="","",J191+N(K191))</f>
        <v/>
      </c>
      <c r="M191" s="14" t="n"/>
    </row>
    <row r="192">
      <c r="A192" s="20" t="n"/>
      <c r="B192" s="21" t="n"/>
      <c r="C192" s="21" t="n"/>
      <c r="D192" s="21" t="n"/>
      <c r="E192" s="22" t="n"/>
      <c r="F192" s="23" t="n"/>
      <c r="G192" s="24" t="n">
        <v>0.52</v>
      </c>
      <c r="H192" s="25">
        <f>IF(F192="","",F192*G192/15)</f>
        <v/>
      </c>
      <c r="I192" s="26" t="n"/>
      <c r="J192" s="26">
        <f>IF(H192="","",H192*I192)</f>
        <v/>
      </c>
      <c r="K192" s="26" t="n"/>
      <c r="L192" s="26">
        <f>IF(J192="","",J192+N(K192))</f>
        <v/>
      </c>
      <c r="M192" s="21" t="n"/>
    </row>
    <row r="193">
      <c r="A193" s="13" t="n"/>
      <c r="B193" s="14" t="n"/>
      <c r="C193" s="14" t="n"/>
      <c r="D193" s="14" t="n"/>
      <c r="E193" s="15" t="n"/>
      <c r="F193" s="16" t="n"/>
      <c r="G193" s="17" t="n">
        <v>0.52</v>
      </c>
      <c r="H193" s="18">
        <f>IF(F193="","",F193*G193/15)</f>
        <v/>
      </c>
      <c r="I193" s="19" t="n"/>
      <c r="J193" s="19">
        <f>IF(H193="","",H193*I193)</f>
        <v/>
      </c>
      <c r="K193" s="19" t="n"/>
      <c r="L193" s="19">
        <f>IF(J193="","",J193+N(K193))</f>
        <v/>
      </c>
      <c r="M193" s="14" t="n"/>
    </row>
    <row r="194">
      <c r="A194" s="20" t="n"/>
      <c r="B194" s="21" t="n"/>
      <c r="C194" s="21" t="n"/>
      <c r="D194" s="21" t="n"/>
      <c r="E194" s="22" t="n"/>
      <c r="F194" s="23" t="n"/>
      <c r="G194" s="24" t="n">
        <v>0.52</v>
      </c>
      <c r="H194" s="25">
        <f>IF(F194="","",F194*G194/15)</f>
        <v/>
      </c>
      <c r="I194" s="26" t="n"/>
      <c r="J194" s="26">
        <f>IF(H194="","",H194*I194)</f>
        <v/>
      </c>
      <c r="K194" s="26" t="n"/>
      <c r="L194" s="26">
        <f>IF(J194="","",J194+N(K194))</f>
        <v/>
      </c>
      <c r="M194" s="21" t="n"/>
    </row>
    <row r="195">
      <c r="A195" s="13" t="n"/>
      <c r="B195" s="14" t="n"/>
      <c r="C195" s="14" t="n"/>
      <c r="D195" s="14" t="n"/>
      <c r="E195" s="15" t="n"/>
      <c r="F195" s="16" t="n"/>
      <c r="G195" s="17" t="n">
        <v>0.52</v>
      </c>
      <c r="H195" s="18">
        <f>IF(F195="","",F195*G195/15)</f>
        <v/>
      </c>
      <c r="I195" s="19" t="n"/>
      <c r="J195" s="19">
        <f>IF(H195="","",H195*I195)</f>
        <v/>
      </c>
      <c r="K195" s="19" t="n"/>
      <c r="L195" s="19">
        <f>IF(J195="","",J195+N(K195))</f>
        <v/>
      </c>
      <c r="M195" s="14" t="n"/>
    </row>
    <row r="196">
      <c r="A196" s="20" t="n"/>
      <c r="B196" s="21" t="n"/>
      <c r="C196" s="21" t="n"/>
      <c r="D196" s="21" t="n"/>
      <c r="E196" s="22" t="n"/>
      <c r="F196" s="23" t="n"/>
      <c r="G196" s="24" t="n">
        <v>0.52</v>
      </c>
      <c r="H196" s="25">
        <f>IF(F196="","",F196*G196/15)</f>
        <v/>
      </c>
      <c r="I196" s="26" t="n"/>
      <c r="J196" s="26">
        <f>IF(H196="","",H196*I196)</f>
        <v/>
      </c>
      <c r="K196" s="26" t="n"/>
      <c r="L196" s="26">
        <f>IF(J196="","",J196+N(K196))</f>
        <v/>
      </c>
      <c r="M196" s="21" t="n"/>
    </row>
    <row r="197">
      <c r="A197" s="13" t="n"/>
      <c r="B197" s="14" t="n"/>
      <c r="C197" s="14" t="n"/>
      <c r="D197" s="14" t="n"/>
      <c r="E197" s="15" t="n"/>
      <c r="F197" s="16" t="n"/>
      <c r="G197" s="17" t="n">
        <v>0.52</v>
      </c>
      <c r="H197" s="18">
        <f>IF(F197="","",F197*G197/15)</f>
        <v/>
      </c>
      <c r="I197" s="19" t="n"/>
      <c r="J197" s="19">
        <f>IF(H197="","",H197*I197)</f>
        <v/>
      </c>
      <c r="K197" s="19" t="n"/>
      <c r="L197" s="19">
        <f>IF(J197="","",J197+N(K197))</f>
        <v/>
      </c>
      <c r="M197" s="14" t="n"/>
    </row>
    <row r="198">
      <c r="A198" s="20" t="n"/>
      <c r="B198" s="21" t="n"/>
      <c r="C198" s="21" t="n"/>
      <c r="D198" s="21" t="n"/>
      <c r="E198" s="22" t="n"/>
      <c r="F198" s="23" t="n"/>
      <c r="G198" s="24" t="n">
        <v>0.52</v>
      </c>
      <c r="H198" s="25">
        <f>IF(F198="","",F198*G198/15)</f>
        <v/>
      </c>
      <c r="I198" s="26" t="n"/>
      <c r="J198" s="26">
        <f>IF(H198="","",H198*I198)</f>
        <v/>
      </c>
      <c r="K198" s="26" t="n"/>
      <c r="L198" s="26">
        <f>IF(J198="","",J198+N(K198))</f>
        <v/>
      </c>
      <c r="M198" s="21" t="n"/>
    </row>
    <row r="199">
      <c r="A199" s="13" t="n"/>
      <c r="B199" s="14" t="n"/>
      <c r="C199" s="14" t="n"/>
      <c r="D199" s="14" t="n"/>
      <c r="E199" s="15" t="n"/>
      <c r="F199" s="16" t="n"/>
      <c r="G199" s="17" t="n">
        <v>0.52</v>
      </c>
      <c r="H199" s="18">
        <f>IF(F199="","",F199*G199/15)</f>
        <v/>
      </c>
      <c r="I199" s="19" t="n"/>
      <c r="J199" s="19">
        <f>IF(H199="","",H199*I199)</f>
        <v/>
      </c>
      <c r="K199" s="19" t="n"/>
      <c r="L199" s="19">
        <f>IF(J199="","",J199+N(K199))</f>
        <v/>
      </c>
      <c r="M199" s="14" t="n"/>
    </row>
    <row r="200">
      <c r="A200" s="20" t="n"/>
      <c r="B200" s="21" t="n"/>
      <c r="C200" s="21" t="n"/>
      <c r="D200" s="21" t="n"/>
      <c r="E200" s="22" t="n"/>
      <c r="F200" s="23" t="n"/>
      <c r="G200" s="24" t="n">
        <v>0.52</v>
      </c>
      <c r="H200" s="25">
        <f>IF(F200="","",F200*G200/15)</f>
        <v/>
      </c>
      <c r="I200" s="26" t="n"/>
      <c r="J200" s="26">
        <f>IF(H200="","",H200*I200)</f>
        <v/>
      </c>
      <c r="K200" s="26" t="n"/>
      <c r="L200" s="26">
        <f>IF(J200="","",J200+N(K200))</f>
        <v/>
      </c>
      <c r="M200" s="21" t="n"/>
    </row>
    <row r="201">
      <c r="A201" s="13" t="n"/>
      <c r="B201" s="14" t="n"/>
      <c r="C201" s="14" t="n"/>
      <c r="D201" s="14" t="n"/>
      <c r="E201" s="15" t="n"/>
      <c r="F201" s="16" t="n"/>
      <c r="G201" s="17" t="n">
        <v>0.52</v>
      </c>
      <c r="H201" s="18">
        <f>IF(F201="","",F201*G201/15)</f>
        <v/>
      </c>
      <c r="I201" s="19" t="n"/>
      <c r="J201" s="19">
        <f>IF(H201="","",H201*I201)</f>
        <v/>
      </c>
      <c r="K201" s="19" t="n"/>
      <c r="L201" s="19">
        <f>IF(J201="","",J201+N(K201))</f>
        <v/>
      </c>
      <c r="M201" s="14" t="n"/>
    </row>
    <row r="202">
      <c r="A202" s="20" t="n"/>
      <c r="B202" s="21" t="n"/>
      <c r="C202" s="21" t="n"/>
      <c r="D202" s="21" t="n"/>
      <c r="E202" s="22" t="n"/>
      <c r="F202" s="23" t="n"/>
      <c r="G202" s="24" t="n">
        <v>0.52</v>
      </c>
      <c r="H202" s="25">
        <f>IF(F202="","",F202*G202/15)</f>
        <v/>
      </c>
      <c r="I202" s="26" t="n"/>
      <c r="J202" s="26">
        <f>IF(H202="","",H202*I202)</f>
        <v/>
      </c>
      <c r="K202" s="26" t="n"/>
      <c r="L202" s="26">
        <f>IF(J202="","",J202+N(K202))</f>
        <v/>
      </c>
      <c r="M202" s="21" t="n"/>
    </row>
    <row r="203">
      <c r="A203" s="13" t="n"/>
      <c r="B203" s="14" t="n"/>
      <c r="C203" s="14" t="n"/>
      <c r="D203" s="14" t="n"/>
      <c r="E203" s="15" t="n"/>
      <c r="F203" s="16" t="n"/>
      <c r="G203" s="17" t="n">
        <v>0.52</v>
      </c>
      <c r="H203" s="18">
        <f>IF(F203="","",F203*G203/15)</f>
        <v/>
      </c>
      <c r="I203" s="19" t="n"/>
      <c r="J203" s="19">
        <f>IF(H203="","",H203*I203)</f>
        <v/>
      </c>
      <c r="K203" s="19" t="n"/>
      <c r="L203" s="19">
        <f>IF(J203="","",J203+N(K203))</f>
        <v/>
      </c>
      <c r="M203" s="14" t="n"/>
    </row>
    <row r="204">
      <c r="A204" s="20" t="n"/>
      <c r="B204" s="21" t="n"/>
      <c r="C204" s="21" t="n"/>
      <c r="D204" s="21" t="n"/>
      <c r="E204" s="22" t="n"/>
      <c r="F204" s="23" t="n"/>
      <c r="G204" s="24" t="n">
        <v>0.52</v>
      </c>
      <c r="H204" s="25">
        <f>IF(F204="","",F204*G204/15)</f>
        <v/>
      </c>
      <c r="I204" s="26" t="n"/>
      <c r="J204" s="26">
        <f>IF(H204="","",H204*I204)</f>
        <v/>
      </c>
      <c r="K204" s="26" t="n"/>
      <c r="L204" s="26">
        <f>IF(J204="","",J204+N(K204))</f>
        <v/>
      </c>
      <c r="M204" s="21" t="n"/>
    </row>
    <row r="205">
      <c r="A205" s="13" t="n"/>
      <c r="B205" s="14" t="n"/>
      <c r="C205" s="14" t="n"/>
      <c r="D205" s="14" t="n"/>
      <c r="E205" s="15" t="n"/>
      <c r="F205" s="16" t="n"/>
      <c r="G205" s="17" t="n">
        <v>0.52</v>
      </c>
      <c r="H205" s="18">
        <f>IF(F205="","",F205*G205/15)</f>
        <v/>
      </c>
      <c r="I205" s="19" t="n"/>
      <c r="J205" s="19">
        <f>IF(H205="","",H205*I205)</f>
        <v/>
      </c>
      <c r="K205" s="19" t="n"/>
      <c r="L205" s="19">
        <f>IF(J205="","",J205+N(K205))</f>
        <v/>
      </c>
      <c r="M205" s="14" t="n"/>
    </row>
    <row r="206">
      <c r="A206" s="20" t="n"/>
      <c r="B206" s="21" t="n"/>
      <c r="C206" s="21" t="n"/>
      <c r="D206" s="21" t="n"/>
      <c r="E206" s="22" t="n"/>
      <c r="F206" s="23" t="n"/>
      <c r="G206" s="24" t="n">
        <v>0.52</v>
      </c>
      <c r="H206" s="25">
        <f>IF(F206="","",F206*G206/15)</f>
        <v/>
      </c>
      <c r="I206" s="26" t="n"/>
      <c r="J206" s="26">
        <f>IF(H206="","",H206*I206)</f>
        <v/>
      </c>
      <c r="K206" s="26" t="n"/>
      <c r="L206" s="26">
        <f>IF(J206="","",J206+N(K206))</f>
        <v/>
      </c>
      <c r="M206" s="21" t="n"/>
    </row>
    <row r="207">
      <c r="A207" s="13" t="n"/>
      <c r="B207" s="14" t="n"/>
      <c r="C207" s="14" t="n"/>
      <c r="D207" s="14" t="n"/>
      <c r="E207" s="15" t="n"/>
      <c r="F207" s="16" t="n"/>
      <c r="G207" s="17" t="n">
        <v>0.52</v>
      </c>
      <c r="H207" s="18">
        <f>IF(F207="","",F207*G207/15)</f>
        <v/>
      </c>
      <c r="I207" s="19" t="n"/>
      <c r="J207" s="19">
        <f>IF(H207="","",H207*I207)</f>
        <v/>
      </c>
      <c r="K207" s="19" t="n"/>
      <c r="L207" s="19">
        <f>IF(J207="","",J207+N(K207))</f>
        <v/>
      </c>
      <c r="M207" s="14" t="n"/>
    </row>
    <row r="208">
      <c r="A208" s="20" t="n"/>
      <c r="B208" s="21" t="n"/>
      <c r="C208" s="21" t="n"/>
      <c r="D208" s="21" t="n"/>
      <c r="E208" s="22" t="n"/>
      <c r="F208" s="23" t="n"/>
      <c r="G208" s="24" t="n">
        <v>0.52</v>
      </c>
      <c r="H208" s="25">
        <f>IF(F208="","",F208*G208/15)</f>
        <v/>
      </c>
      <c r="I208" s="26" t="n"/>
      <c r="J208" s="26">
        <f>IF(H208="","",H208*I208)</f>
        <v/>
      </c>
      <c r="K208" s="26" t="n"/>
      <c r="L208" s="26">
        <f>IF(J208="","",J208+N(K208))</f>
        <v/>
      </c>
      <c r="M208" s="21" t="n"/>
    </row>
    <row r="209">
      <c r="A209" s="13" t="n"/>
      <c r="B209" s="14" t="n"/>
      <c r="C209" s="14" t="n"/>
      <c r="D209" s="14" t="n"/>
      <c r="E209" s="15" t="n"/>
      <c r="F209" s="16" t="n"/>
      <c r="G209" s="17" t="n">
        <v>0.52</v>
      </c>
      <c r="H209" s="18">
        <f>IF(F209="","",F209*G209/15)</f>
        <v/>
      </c>
      <c r="I209" s="19" t="n"/>
      <c r="J209" s="19">
        <f>IF(H209="","",H209*I209)</f>
        <v/>
      </c>
      <c r="K209" s="19" t="n"/>
      <c r="L209" s="19">
        <f>IF(J209="","",J209+N(K209))</f>
        <v/>
      </c>
      <c r="M209" s="14" t="n"/>
    </row>
    <row r="210">
      <c r="A210" s="20" t="n"/>
      <c r="B210" s="21" t="n"/>
      <c r="C210" s="21" t="n"/>
      <c r="D210" s="21" t="n"/>
      <c r="E210" s="22" t="n"/>
      <c r="F210" s="23" t="n"/>
      <c r="G210" s="24" t="n">
        <v>0.52</v>
      </c>
      <c r="H210" s="25">
        <f>IF(F210="","",F210*G210/15)</f>
        <v/>
      </c>
      <c r="I210" s="26" t="n"/>
      <c r="J210" s="26">
        <f>IF(H210="","",H210*I210)</f>
        <v/>
      </c>
      <c r="K210" s="26" t="n"/>
      <c r="L210" s="26">
        <f>IF(J210="","",J210+N(K210))</f>
        <v/>
      </c>
      <c r="M210" s="21" t="n"/>
    </row>
    <row r="211">
      <c r="A211" s="13" t="n"/>
      <c r="B211" s="14" t="n"/>
      <c r="C211" s="14" t="n"/>
      <c r="D211" s="14" t="n"/>
      <c r="E211" s="15" t="n"/>
      <c r="F211" s="16" t="n"/>
      <c r="G211" s="17" t="n">
        <v>0.52</v>
      </c>
      <c r="H211" s="18">
        <f>IF(F211="","",F211*G211/15)</f>
        <v/>
      </c>
      <c r="I211" s="19" t="n"/>
      <c r="J211" s="19">
        <f>IF(H211="","",H211*I211)</f>
        <v/>
      </c>
      <c r="K211" s="19" t="n"/>
      <c r="L211" s="19">
        <f>IF(J211="","",J211+N(K211))</f>
        <v/>
      </c>
      <c r="M211" s="14" t="n"/>
    </row>
    <row r="212">
      <c r="A212" s="20" t="n"/>
      <c r="B212" s="21" t="n"/>
      <c r="C212" s="21" t="n"/>
      <c r="D212" s="21" t="n"/>
      <c r="E212" s="22" t="n"/>
      <c r="F212" s="23" t="n"/>
      <c r="G212" s="24" t="n">
        <v>0.52</v>
      </c>
      <c r="H212" s="25">
        <f>IF(F212="","",F212*G212/15)</f>
        <v/>
      </c>
      <c r="I212" s="26" t="n"/>
      <c r="J212" s="26">
        <f>IF(H212="","",H212*I212)</f>
        <v/>
      </c>
      <c r="K212" s="26" t="n"/>
      <c r="L212" s="26">
        <f>IF(J212="","",J212+N(K212))</f>
        <v/>
      </c>
      <c r="M212" s="21" t="n"/>
    </row>
    <row r="213">
      <c r="A213" s="13" t="n"/>
      <c r="B213" s="14" t="n"/>
      <c r="C213" s="14" t="n"/>
      <c r="D213" s="14" t="n"/>
      <c r="E213" s="15" t="n"/>
      <c r="F213" s="16" t="n"/>
      <c r="G213" s="17" t="n">
        <v>0.52</v>
      </c>
      <c r="H213" s="18">
        <f>IF(F213="","",F213*G213/15)</f>
        <v/>
      </c>
      <c r="I213" s="19" t="n"/>
      <c r="J213" s="19">
        <f>IF(H213="","",H213*I213)</f>
        <v/>
      </c>
      <c r="K213" s="19" t="n"/>
      <c r="L213" s="19">
        <f>IF(J213="","",J213+N(K213))</f>
        <v/>
      </c>
      <c r="M213" s="14" t="n"/>
    </row>
    <row r="214">
      <c r="A214" s="20" t="n"/>
      <c r="B214" s="21" t="n"/>
      <c r="C214" s="21" t="n"/>
      <c r="D214" s="21" t="n"/>
      <c r="E214" s="22" t="n"/>
      <c r="F214" s="23" t="n"/>
      <c r="G214" s="24" t="n">
        <v>0.52</v>
      </c>
      <c r="H214" s="25">
        <f>IF(F214="","",F214*G214/15)</f>
        <v/>
      </c>
      <c r="I214" s="26" t="n"/>
      <c r="J214" s="26">
        <f>IF(H214="","",H214*I214)</f>
        <v/>
      </c>
      <c r="K214" s="26" t="n"/>
      <c r="L214" s="26">
        <f>IF(J214="","",J214+N(K214))</f>
        <v/>
      </c>
      <c r="M214" s="21" t="n"/>
    </row>
    <row r="215">
      <c r="A215" s="13" t="n"/>
      <c r="B215" s="14" t="n"/>
      <c r="C215" s="14" t="n"/>
      <c r="D215" s="14" t="n"/>
      <c r="E215" s="15" t="n"/>
      <c r="F215" s="16" t="n"/>
      <c r="G215" s="17" t="n">
        <v>0.52</v>
      </c>
      <c r="H215" s="18">
        <f>IF(F215="","",F215*G215/15)</f>
        <v/>
      </c>
      <c r="I215" s="19" t="n"/>
      <c r="J215" s="19">
        <f>IF(H215="","",H215*I215)</f>
        <v/>
      </c>
      <c r="K215" s="19" t="n"/>
      <c r="L215" s="19">
        <f>IF(J215="","",J215+N(K215))</f>
        <v/>
      </c>
      <c r="M215" s="14" t="n"/>
    </row>
    <row r="216">
      <c r="A216" s="20" t="n"/>
      <c r="B216" s="21" t="n"/>
      <c r="C216" s="21" t="n"/>
      <c r="D216" s="21" t="n"/>
      <c r="E216" s="22" t="n"/>
      <c r="F216" s="23" t="n"/>
      <c r="G216" s="24" t="n">
        <v>0.52</v>
      </c>
      <c r="H216" s="25">
        <f>IF(F216="","",F216*G216/15)</f>
        <v/>
      </c>
      <c r="I216" s="26" t="n"/>
      <c r="J216" s="26">
        <f>IF(H216="","",H216*I216)</f>
        <v/>
      </c>
      <c r="K216" s="26" t="n"/>
      <c r="L216" s="26">
        <f>IF(J216="","",J216+N(K216))</f>
        <v/>
      </c>
      <c r="M216" s="21" t="n"/>
    </row>
    <row r="217">
      <c r="A217" s="13" t="n"/>
      <c r="B217" s="14" t="n"/>
      <c r="C217" s="14" t="n"/>
      <c r="D217" s="14" t="n"/>
      <c r="E217" s="15" t="n"/>
      <c r="F217" s="16" t="n"/>
      <c r="G217" s="17" t="n">
        <v>0.52</v>
      </c>
      <c r="H217" s="18">
        <f>IF(F217="","",F217*G217/15)</f>
        <v/>
      </c>
      <c r="I217" s="19" t="n"/>
      <c r="J217" s="19">
        <f>IF(H217="","",H217*I217)</f>
        <v/>
      </c>
      <c r="K217" s="19" t="n"/>
      <c r="L217" s="19">
        <f>IF(J217="","",J217+N(K217))</f>
        <v/>
      </c>
      <c r="M217" s="14" t="n"/>
    </row>
    <row r="218">
      <c r="A218" s="20" t="n"/>
      <c r="B218" s="21" t="n"/>
      <c r="C218" s="21" t="n"/>
      <c r="D218" s="21" t="n"/>
      <c r="E218" s="22" t="n"/>
      <c r="F218" s="23" t="n"/>
      <c r="G218" s="24" t="n">
        <v>0.52</v>
      </c>
      <c r="H218" s="25">
        <f>IF(F218="","",F218*G218/15)</f>
        <v/>
      </c>
      <c r="I218" s="26" t="n"/>
      <c r="J218" s="26">
        <f>IF(H218="","",H218*I218)</f>
        <v/>
      </c>
      <c r="K218" s="26" t="n"/>
      <c r="L218" s="26">
        <f>IF(J218="","",J218+N(K218))</f>
        <v/>
      </c>
      <c r="M218" s="21" t="n"/>
    </row>
    <row r="219">
      <c r="A219" s="13" t="n"/>
      <c r="B219" s="14" t="n"/>
      <c r="C219" s="14" t="n"/>
      <c r="D219" s="14" t="n"/>
      <c r="E219" s="15" t="n"/>
      <c r="F219" s="16" t="n"/>
      <c r="G219" s="17" t="n">
        <v>0.52</v>
      </c>
      <c r="H219" s="18">
        <f>IF(F219="","",F219*G219/15)</f>
        <v/>
      </c>
      <c r="I219" s="19" t="n"/>
      <c r="J219" s="19">
        <f>IF(H219="","",H219*I219)</f>
        <v/>
      </c>
      <c r="K219" s="19" t="n"/>
      <c r="L219" s="19">
        <f>IF(J219="","",J219+N(K219))</f>
        <v/>
      </c>
      <c r="M219" s="14" t="n"/>
    </row>
    <row r="220">
      <c r="A220" s="20" t="n"/>
      <c r="B220" s="21" t="n"/>
      <c r="C220" s="21" t="n"/>
      <c r="D220" s="21" t="n"/>
      <c r="E220" s="22" t="n"/>
      <c r="F220" s="23" t="n"/>
      <c r="G220" s="24" t="n">
        <v>0.52</v>
      </c>
      <c r="H220" s="25">
        <f>IF(F220="","",F220*G220/15)</f>
        <v/>
      </c>
      <c r="I220" s="26" t="n"/>
      <c r="J220" s="26">
        <f>IF(H220="","",H220*I220)</f>
        <v/>
      </c>
      <c r="K220" s="26" t="n"/>
      <c r="L220" s="26">
        <f>IF(J220="","",J220+N(K220))</f>
        <v/>
      </c>
      <c r="M220" s="21" t="n"/>
    </row>
    <row r="221">
      <c r="A221" s="13" t="n"/>
      <c r="B221" s="14" t="n"/>
      <c r="C221" s="14" t="n"/>
      <c r="D221" s="14" t="n"/>
      <c r="E221" s="15" t="n"/>
      <c r="F221" s="16" t="n"/>
      <c r="G221" s="17" t="n">
        <v>0.52</v>
      </c>
      <c r="H221" s="18">
        <f>IF(F221="","",F221*G221/15)</f>
        <v/>
      </c>
      <c r="I221" s="19" t="n"/>
      <c r="J221" s="19">
        <f>IF(H221="","",H221*I221)</f>
        <v/>
      </c>
      <c r="K221" s="19" t="n"/>
      <c r="L221" s="19">
        <f>IF(J221="","",J221+N(K221))</f>
        <v/>
      </c>
      <c r="M221" s="14" t="n"/>
    </row>
    <row r="222">
      <c r="A222" s="20" t="n"/>
      <c r="B222" s="21" t="n"/>
      <c r="C222" s="21" t="n"/>
      <c r="D222" s="21" t="n"/>
      <c r="E222" s="22" t="n"/>
      <c r="F222" s="23" t="n"/>
      <c r="G222" s="24" t="n">
        <v>0.52</v>
      </c>
      <c r="H222" s="25">
        <f>IF(F222="","",F222*G222/15)</f>
        <v/>
      </c>
      <c r="I222" s="26" t="n"/>
      <c r="J222" s="26">
        <f>IF(H222="","",H222*I222)</f>
        <v/>
      </c>
      <c r="K222" s="26" t="n"/>
      <c r="L222" s="26">
        <f>IF(J222="","",J222+N(K222))</f>
        <v/>
      </c>
      <c r="M222" s="21" t="n"/>
    </row>
    <row r="223">
      <c r="A223" s="13" t="n"/>
      <c r="B223" s="14" t="n"/>
      <c r="C223" s="14" t="n"/>
      <c r="D223" s="14" t="n"/>
      <c r="E223" s="15" t="n"/>
      <c r="F223" s="16" t="n"/>
      <c r="G223" s="17" t="n">
        <v>0.52</v>
      </c>
      <c r="H223" s="18">
        <f>IF(F223="","",F223*G223/15)</f>
        <v/>
      </c>
      <c r="I223" s="19" t="n"/>
      <c r="J223" s="19">
        <f>IF(H223="","",H223*I223)</f>
        <v/>
      </c>
      <c r="K223" s="19" t="n"/>
      <c r="L223" s="19">
        <f>IF(J223="","",J223+N(K223))</f>
        <v/>
      </c>
      <c r="M223" s="14" t="n"/>
    </row>
    <row r="224">
      <c r="A224" s="20" t="n"/>
      <c r="B224" s="21" t="n"/>
      <c r="C224" s="21" t="n"/>
      <c r="D224" s="21" t="n"/>
      <c r="E224" s="22" t="n"/>
      <c r="F224" s="23" t="n"/>
      <c r="G224" s="24" t="n">
        <v>0.52</v>
      </c>
      <c r="H224" s="25">
        <f>IF(F224="","",F224*G224/15)</f>
        <v/>
      </c>
      <c r="I224" s="26" t="n"/>
      <c r="J224" s="26">
        <f>IF(H224="","",H224*I224)</f>
        <v/>
      </c>
      <c r="K224" s="26" t="n"/>
      <c r="L224" s="26">
        <f>IF(J224="","",J224+N(K224))</f>
        <v/>
      </c>
      <c r="M224" s="21" t="n"/>
    </row>
    <row r="225">
      <c r="A225" s="13" t="n"/>
      <c r="B225" s="14" t="n"/>
      <c r="C225" s="14" t="n"/>
      <c r="D225" s="14" t="n"/>
      <c r="E225" s="15" t="n"/>
      <c r="F225" s="16" t="n"/>
      <c r="G225" s="17" t="n">
        <v>0.52</v>
      </c>
      <c r="H225" s="18">
        <f>IF(F225="","",F225*G225/15)</f>
        <v/>
      </c>
      <c r="I225" s="19" t="n"/>
      <c r="J225" s="19">
        <f>IF(H225="","",H225*I225)</f>
        <v/>
      </c>
      <c r="K225" s="19" t="n"/>
      <c r="L225" s="19">
        <f>IF(J225="","",J225+N(K225))</f>
        <v/>
      </c>
      <c r="M225" s="14" t="n"/>
    </row>
    <row r="226">
      <c r="A226" s="20" t="n"/>
      <c r="B226" s="21" t="n"/>
      <c r="C226" s="21" t="n"/>
      <c r="D226" s="21" t="n"/>
      <c r="E226" s="22" t="n"/>
      <c r="F226" s="23" t="n"/>
      <c r="G226" s="24" t="n">
        <v>0.52</v>
      </c>
      <c r="H226" s="25">
        <f>IF(F226="","",F226*G226/15)</f>
        <v/>
      </c>
      <c r="I226" s="26" t="n"/>
      <c r="J226" s="26">
        <f>IF(H226="","",H226*I226)</f>
        <v/>
      </c>
      <c r="K226" s="26" t="n"/>
      <c r="L226" s="26">
        <f>IF(J226="","",J226+N(K226))</f>
        <v/>
      </c>
      <c r="M226" s="21" t="n"/>
    </row>
    <row r="227">
      <c r="A227" s="13" t="n"/>
      <c r="B227" s="14" t="n"/>
      <c r="C227" s="14" t="n"/>
      <c r="D227" s="14" t="n"/>
      <c r="E227" s="15" t="n"/>
      <c r="F227" s="16" t="n"/>
      <c r="G227" s="17" t="n">
        <v>0.52</v>
      </c>
      <c r="H227" s="18">
        <f>IF(F227="","",F227*G227/15)</f>
        <v/>
      </c>
      <c r="I227" s="19" t="n"/>
      <c r="J227" s="19">
        <f>IF(H227="","",H227*I227)</f>
        <v/>
      </c>
      <c r="K227" s="19" t="n"/>
      <c r="L227" s="19">
        <f>IF(J227="","",J227+N(K227))</f>
        <v/>
      </c>
      <c r="M227" s="14" t="n"/>
    </row>
    <row r="228">
      <c r="A228" s="20" t="n"/>
      <c r="B228" s="21" t="n"/>
      <c r="C228" s="21" t="n"/>
      <c r="D228" s="21" t="n"/>
      <c r="E228" s="22" t="n"/>
      <c r="F228" s="23" t="n"/>
      <c r="G228" s="24" t="n">
        <v>0.52</v>
      </c>
      <c r="H228" s="25">
        <f>IF(F228="","",F228*G228/15)</f>
        <v/>
      </c>
      <c r="I228" s="26" t="n"/>
      <c r="J228" s="26">
        <f>IF(H228="","",H228*I228)</f>
        <v/>
      </c>
      <c r="K228" s="26" t="n"/>
      <c r="L228" s="26">
        <f>IF(J228="","",J228+N(K228))</f>
        <v/>
      </c>
      <c r="M228" s="21" t="n"/>
    </row>
    <row r="229">
      <c r="A229" s="13" t="n"/>
      <c r="B229" s="14" t="n"/>
      <c r="C229" s="14" t="n"/>
      <c r="D229" s="14" t="n"/>
      <c r="E229" s="15" t="n"/>
      <c r="F229" s="16" t="n"/>
      <c r="G229" s="17" t="n">
        <v>0.52</v>
      </c>
      <c r="H229" s="18">
        <f>IF(F229="","",F229*G229/15)</f>
        <v/>
      </c>
      <c r="I229" s="19" t="n"/>
      <c r="J229" s="19">
        <f>IF(H229="","",H229*I229)</f>
        <v/>
      </c>
      <c r="K229" s="19" t="n"/>
      <c r="L229" s="19">
        <f>IF(J229="","",J229+N(K229))</f>
        <v/>
      </c>
      <c r="M229" s="14" t="n"/>
    </row>
    <row r="230">
      <c r="A230" s="20" t="n"/>
      <c r="B230" s="21" t="n"/>
      <c r="C230" s="21" t="n"/>
      <c r="D230" s="21" t="n"/>
      <c r="E230" s="22" t="n"/>
      <c r="F230" s="23" t="n"/>
      <c r="G230" s="24" t="n">
        <v>0.52</v>
      </c>
      <c r="H230" s="25">
        <f>IF(F230="","",F230*G230/15)</f>
        <v/>
      </c>
      <c r="I230" s="26" t="n"/>
      <c r="J230" s="26">
        <f>IF(H230="","",H230*I230)</f>
        <v/>
      </c>
      <c r="K230" s="26" t="n"/>
      <c r="L230" s="26">
        <f>IF(J230="","",J230+N(K230))</f>
        <v/>
      </c>
      <c r="M230" s="21" t="n"/>
    </row>
    <row r="231">
      <c r="A231" s="13" t="n"/>
      <c r="B231" s="14" t="n"/>
      <c r="C231" s="14" t="n"/>
      <c r="D231" s="14" t="n"/>
      <c r="E231" s="15" t="n"/>
      <c r="F231" s="16" t="n"/>
      <c r="G231" s="17" t="n">
        <v>0.52</v>
      </c>
      <c r="H231" s="18">
        <f>IF(F231="","",F231*G231/15)</f>
        <v/>
      </c>
      <c r="I231" s="19" t="n"/>
      <c r="J231" s="19">
        <f>IF(H231="","",H231*I231)</f>
        <v/>
      </c>
      <c r="K231" s="19" t="n"/>
      <c r="L231" s="19">
        <f>IF(J231="","",J231+N(K231))</f>
        <v/>
      </c>
      <c r="M231" s="14" t="n"/>
    </row>
    <row r="232">
      <c r="A232" s="20" t="n"/>
      <c r="B232" s="21" t="n"/>
      <c r="C232" s="21" t="n"/>
      <c r="D232" s="21" t="n"/>
      <c r="E232" s="22" t="n"/>
      <c r="F232" s="23" t="n"/>
      <c r="G232" s="24" t="n">
        <v>0.52</v>
      </c>
      <c r="H232" s="25">
        <f>IF(F232="","",F232*G232/15)</f>
        <v/>
      </c>
      <c r="I232" s="26" t="n"/>
      <c r="J232" s="26">
        <f>IF(H232="","",H232*I232)</f>
        <v/>
      </c>
      <c r="K232" s="26" t="n"/>
      <c r="L232" s="26">
        <f>IF(J232="","",J232+N(K232))</f>
        <v/>
      </c>
      <c r="M232" s="21" t="n"/>
    </row>
    <row r="233">
      <c r="A233" s="13" t="n"/>
      <c r="B233" s="14" t="n"/>
      <c r="C233" s="14" t="n"/>
      <c r="D233" s="14" t="n"/>
      <c r="E233" s="15" t="n"/>
      <c r="F233" s="16" t="n"/>
      <c r="G233" s="17" t="n">
        <v>0.52</v>
      </c>
      <c r="H233" s="18">
        <f>IF(F233="","",F233*G233/15)</f>
        <v/>
      </c>
      <c r="I233" s="19" t="n"/>
      <c r="J233" s="19">
        <f>IF(H233="","",H233*I233)</f>
        <v/>
      </c>
      <c r="K233" s="19" t="n"/>
      <c r="L233" s="19">
        <f>IF(J233="","",J233+N(K233))</f>
        <v/>
      </c>
      <c r="M233" s="14" t="n"/>
    </row>
    <row r="234">
      <c r="A234" s="20" t="n"/>
      <c r="B234" s="21" t="n"/>
      <c r="C234" s="21" t="n"/>
      <c r="D234" s="21" t="n"/>
      <c r="E234" s="22" t="n"/>
      <c r="F234" s="23" t="n"/>
      <c r="G234" s="24" t="n">
        <v>0.52</v>
      </c>
      <c r="H234" s="25">
        <f>IF(F234="","",F234*G234/15)</f>
        <v/>
      </c>
      <c r="I234" s="26" t="n"/>
      <c r="J234" s="26">
        <f>IF(H234="","",H234*I234)</f>
        <v/>
      </c>
      <c r="K234" s="26" t="n"/>
      <c r="L234" s="26">
        <f>IF(J234="","",J234+N(K234))</f>
        <v/>
      </c>
      <c r="M234" s="21" t="n"/>
    </row>
    <row r="235">
      <c r="A235" s="13" t="n"/>
      <c r="B235" s="14" t="n"/>
      <c r="C235" s="14" t="n"/>
      <c r="D235" s="14" t="n"/>
      <c r="E235" s="15" t="n"/>
      <c r="F235" s="16" t="n"/>
      <c r="G235" s="17" t="n">
        <v>0.52</v>
      </c>
      <c r="H235" s="18">
        <f>IF(F235="","",F235*G235/15)</f>
        <v/>
      </c>
      <c r="I235" s="19" t="n"/>
      <c r="J235" s="19">
        <f>IF(H235="","",H235*I235)</f>
        <v/>
      </c>
      <c r="K235" s="19" t="n"/>
      <c r="L235" s="19">
        <f>IF(J235="","",J235+N(K235))</f>
        <v/>
      </c>
      <c r="M235" s="14" t="n"/>
    </row>
    <row r="236">
      <c r="A236" s="20" t="n"/>
      <c r="B236" s="21" t="n"/>
      <c r="C236" s="21" t="n"/>
      <c r="D236" s="21" t="n"/>
      <c r="E236" s="22" t="n"/>
      <c r="F236" s="23" t="n"/>
      <c r="G236" s="24" t="n">
        <v>0.52</v>
      </c>
      <c r="H236" s="25">
        <f>IF(F236="","",F236*G236/15)</f>
        <v/>
      </c>
      <c r="I236" s="26" t="n"/>
      <c r="J236" s="26">
        <f>IF(H236="","",H236*I236)</f>
        <v/>
      </c>
      <c r="K236" s="26" t="n"/>
      <c r="L236" s="26">
        <f>IF(J236="","",J236+N(K236))</f>
        <v/>
      </c>
      <c r="M236" s="21" t="n"/>
    </row>
    <row r="237">
      <c r="A237" s="13" t="n"/>
      <c r="B237" s="14" t="n"/>
      <c r="C237" s="14" t="n"/>
      <c r="D237" s="14" t="n"/>
      <c r="E237" s="15" t="n"/>
      <c r="F237" s="16" t="n"/>
      <c r="G237" s="17" t="n">
        <v>0.52</v>
      </c>
      <c r="H237" s="18">
        <f>IF(F237="","",F237*G237/15)</f>
        <v/>
      </c>
      <c r="I237" s="19" t="n"/>
      <c r="J237" s="19">
        <f>IF(H237="","",H237*I237)</f>
        <v/>
      </c>
      <c r="K237" s="19" t="n"/>
      <c r="L237" s="19">
        <f>IF(J237="","",J237+N(K237))</f>
        <v/>
      </c>
      <c r="M237" s="14" t="n"/>
    </row>
    <row r="238">
      <c r="A238" s="20" t="n"/>
      <c r="B238" s="21" t="n"/>
      <c r="C238" s="21" t="n"/>
      <c r="D238" s="21" t="n"/>
      <c r="E238" s="22" t="n"/>
      <c r="F238" s="23" t="n"/>
      <c r="G238" s="24" t="n">
        <v>0.52</v>
      </c>
      <c r="H238" s="25">
        <f>IF(F238="","",F238*G238/15)</f>
        <v/>
      </c>
      <c r="I238" s="26" t="n"/>
      <c r="J238" s="26">
        <f>IF(H238="","",H238*I238)</f>
        <v/>
      </c>
      <c r="K238" s="26" t="n"/>
      <c r="L238" s="26">
        <f>IF(J238="","",J238+N(K238))</f>
        <v/>
      </c>
      <c r="M238" s="21" t="n"/>
    </row>
    <row r="239">
      <c r="A239" s="13" t="n"/>
      <c r="B239" s="14" t="n"/>
      <c r="C239" s="14" t="n"/>
      <c r="D239" s="14" t="n"/>
      <c r="E239" s="15" t="n"/>
      <c r="F239" s="16" t="n"/>
      <c r="G239" s="17" t="n">
        <v>0.52</v>
      </c>
      <c r="H239" s="18">
        <f>IF(F239="","",F239*G239/15)</f>
        <v/>
      </c>
      <c r="I239" s="19" t="n"/>
      <c r="J239" s="19">
        <f>IF(H239="","",H239*I239)</f>
        <v/>
      </c>
      <c r="K239" s="19" t="n"/>
      <c r="L239" s="19">
        <f>IF(J239="","",J239+N(K239))</f>
        <v/>
      </c>
      <c r="M239" s="14" t="n"/>
    </row>
    <row r="240">
      <c r="A240" s="20" t="n"/>
      <c r="B240" s="21" t="n"/>
      <c r="C240" s="21" t="n"/>
      <c r="D240" s="21" t="n"/>
      <c r="E240" s="22" t="n"/>
      <c r="F240" s="23" t="n"/>
      <c r="G240" s="24" t="n">
        <v>0.52</v>
      </c>
      <c r="H240" s="25">
        <f>IF(F240="","",F240*G240/15)</f>
        <v/>
      </c>
      <c r="I240" s="26" t="n"/>
      <c r="J240" s="26">
        <f>IF(H240="","",H240*I240)</f>
        <v/>
      </c>
      <c r="K240" s="26" t="n"/>
      <c r="L240" s="26">
        <f>IF(J240="","",J240+N(K240))</f>
        <v/>
      </c>
      <c r="M240" s="21" t="n"/>
    </row>
    <row r="241">
      <c r="A241" s="13" t="n"/>
      <c r="B241" s="14" t="n"/>
      <c r="C241" s="14" t="n"/>
      <c r="D241" s="14" t="n"/>
      <c r="E241" s="15" t="n"/>
      <c r="F241" s="16" t="n"/>
      <c r="G241" s="17" t="n">
        <v>0.52</v>
      </c>
      <c r="H241" s="18">
        <f>IF(F241="","",F241*G241/15)</f>
        <v/>
      </c>
      <c r="I241" s="19" t="n"/>
      <c r="J241" s="19">
        <f>IF(H241="","",H241*I241)</f>
        <v/>
      </c>
      <c r="K241" s="19" t="n"/>
      <c r="L241" s="19">
        <f>IF(J241="","",J241+N(K241))</f>
        <v/>
      </c>
      <c r="M241" s="14" t="n"/>
    </row>
    <row r="242">
      <c r="A242" s="20" t="n"/>
      <c r="B242" s="21" t="n"/>
      <c r="C242" s="21" t="n"/>
      <c r="D242" s="21" t="n"/>
      <c r="E242" s="22" t="n"/>
      <c r="F242" s="23" t="n"/>
      <c r="G242" s="24" t="n">
        <v>0.52</v>
      </c>
      <c r="H242" s="25">
        <f>IF(F242="","",F242*G242/15)</f>
        <v/>
      </c>
      <c r="I242" s="26" t="n"/>
      <c r="J242" s="26">
        <f>IF(H242="","",H242*I242)</f>
        <v/>
      </c>
      <c r="K242" s="26" t="n"/>
      <c r="L242" s="26">
        <f>IF(J242="","",J242+N(K242))</f>
        <v/>
      </c>
      <c r="M242" s="21" t="n"/>
    </row>
    <row r="243">
      <c r="A243" s="13" t="n"/>
      <c r="B243" s="14" t="n"/>
      <c r="C243" s="14" t="n"/>
      <c r="D243" s="14" t="n"/>
      <c r="E243" s="15" t="n"/>
      <c r="F243" s="16" t="n"/>
      <c r="G243" s="17" t="n">
        <v>0.52</v>
      </c>
      <c r="H243" s="18">
        <f>IF(F243="","",F243*G243/15)</f>
        <v/>
      </c>
      <c r="I243" s="19" t="n"/>
      <c r="J243" s="19">
        <f>IF(H243="","",H243*I243)</f>
        <v/>
      </c>
      <c r="K243" s="19" t="n"/>
      <c r="L243" s="19">
        <f>IF(J243="","",J243+N(K243))</f>
        <v/>
      </c>
      <c r="M243" s="14" t="n"/>
    </row>
    <row r="244">
      <c r="A244" s="20" t="n"/>
      <c r="B244" s="21" t="n"/>
      <c r="C244" s="21" t="n"/>
      <c r="D244" s="21" t="n"/>
      <c r="E244" s="22" t="n"/>
      <c r="F244" s="23" t="n"/>
      <c r="G244" s="24" t="n">
        <v>0.52</v>
      </c>
      <c r="H244" s="25">
        <f>IF(F244="","",F244*G244/15)</f>
        <v/>
      </c>
      <c r="I244" s="26" t="n"/>
      <c r="J244" s="26">
        <f>IF(H244="","",H244*I244)</f>
        <v/>
      </c>
      <c r="K244" s="26" t="n"/>
      <c r="L244" s="26">
        <f>IF(J244="","",J244+N(K244))</f>
        <v/>
      </c>
      <c r="M244" s="21" t="n"/>
    </row>
    <row r="245">
      <c r="A245" s="13" t="n"/>
      <c r="B245" s="14" t="n"/>
      <c r="C245" s="14" t="n"/>
      <c r="D245" s="14" t="n"/>
      <c r="E245" s="15" t="n"/>
      <c r="F245" s="16" t="n"/>
      <c r="G245" s="17" t="n">
        <v>0.52</v>
      </c>
      <c r="H245" s="18">
        <f>IF(F245="","",F245*G245/15)</f>
        <v/>
      </c>
      <c r="I245" s="19" t="n"/>
      <c r="J245" s="19">
        <f>IF(H245="","",H245*I245)</f>
        <v/>
      </c>
      <c r="K245" s="19" t="n"/>
      <c r="L245" s="19">
        <f>IF(J245="","",J245+N(K245))</f>
        <v/>
      </c>
      <c r="M245" s="14" t="n"/>
    </row>
    <row r="246">
      <c r="A246" s="20" t="n"/>
      <c r="B246" s="21" t="n"/>
      <c r="C246" s="21" t="n"/>
      <c r="D246" s="21" t="n"/>
      <c r="E246" s="22" t="n"/>
      <c r="F246" s="23" t="n"/>
      <c r="G246" s="24" t="n">
        <v>0.52</v>
      </c>
      <c r="H246" s="25">
        <f>IF(F246="","",F246*G246/15)</f>
        <v/>
      </c>
      <c r="I246" s="26" t="n"/>
      <c r="J246" s="26">
        <f>IF(H246="","",H246*I246)</f>
        <v/>
      </c>
      <c r="K246" s="26" t="n"/>
      <c r="L246" s="26">
        <f>IF(J246="","",J246+N(K246))</f>
        <v/>
      </c>
      <c r="M246" s="21" t="n"/>
    </row>
    <row r="247">
      <c r="A247" s="13" t="n"/>
      <c r="B247" s="14" t="n"/>
      <c r="C247" s="14" t="n"/>
      <c r="D247" s="14" t="n"/>
      <c r="E247" s="15" t="n"/>
      <c r="F247" s="16" t="n"/>
      <c r="G247" s="17" t="n">
        <v>0.52</v>
      </c>
      <c r="H247" s="18">
        <f>IF(F247="","",F247*G247/15)</f>
        <v/>
      </c>
      <c r="I247" s="19" t="n"/>
      <c r="J247" s="19">
        <f>IF(H247="","",H247*I247)</f>
        <v/>
      </c>
      <c r="K247" s="19" t="n"/>
      <c r="L247" s="19">
        <f>IF(J247="","",J247+N(K247))</f>
        <v/>
      </c>
      <c r="M247" s="14" t="n"/>
    </row>
    <row r="248">
      <c r="A248" s="20" t="n"/>
      <c r="B248" s="21" t="n"/>
      <c r="C248" s="21" t="n"/>
      <c r="D248" s="21" t="n"/>
      <c r="E248" s="22" t="n"/>
      <c r="F248" s="23" t="n"/>
      <c r="G248" s="24" t="n">
        <v>0.52</v>
      </c>
      <c r="H248" s="25">
        <f>IF(F248="","",F248*G248/15)</f>
        <v/>
      </c>
      <c r="I248" s="26" t="n"/>
      <c r="J248" s="26">
        <f>IF(H248="","",H248*I248)</f>
        <v/>
      </c>
      <c r="K248" s="26" t="n"/>
      <c r="L248" s="26">
        <f>IF(J248="","",J248+N(K248))</f>
        <v/>
      </c>
      <c r="M248" s="21" t="n"/>
    </row>
    <row r="249">
      <c r="A249" s="13" t="n"/>
      <c r="B249" s="14" t="n"/>
      <c r="C249" s="14" t="n"/>
      <c r="D249" s="14" t="n"/>
      <c r="E249" s="15" t="n"/>
      <c r="F249" s="16" t="n"/>
      <c r="G249" s="17" t="n">
        <v>0.52</v>
      </c>
      <c r="H249" s="18">
        <f>IF(F249="","",F249*G249/15)</f>
        <v/>
      </c>
      <c r="I249" s="19" t="n"/>
      <c r="J249" s="19">
        <f>IF(H249="","",H249*I249)</f>
        <v/>
      </c>
      <c r="K249" s="19" t="n"/>
      <c r="L249" s="19">
        <f>IF(J249="","",J249+N(K249))</f>
        <v/>
      </c>
      <c r="M249" s="14" t="n"/>
    </row>
    <row r="250">
      <c r="A250" s="20" t="n"/>
      <c r="B250" s="21" t="n"/>
      <c r="C250" s="21" t="n"/>
      <c r="D250" s="21" t="n"/>
      <c r="E250" s="22" t="n"/>
      <c r="F250" s="23" t="n"/>
      <c r="G250" s="24" t="n">
        <v>0.52</v>
      </c>
      <c r="H250" s="25">
        <f>IF(F250="","",F250*G250/15)</f>
        <v/>
      </c>
      <c r="I250" s="26" t="n"/>
      <c r="J250" s="26">
        <f>IF(H250="","",H250*I250)</f>
        <v/>
      </c>
      <c r="K250" s="26" t="n"/>
      <c r="L250" s="26">
        <f>IF(J250="","",J250+N(K250))</f>
        <v/>
      </c>
      <c r="M250" s="21" t="n"/>
    </row>
    <row r="251">
      <c r="A251" s="13" t="n"/>
      <c r="B251" s="14" t="n"/>
      <c r="C251" s="14" t="n"/>
      <c r="D251" s="14" t="n"/>
      <c r="E251" s="15" t="n"/>
      <c r="F251" s="16" t="n"/>
      <c r="G251" s="17" t="n">
        <v>0.52</v>
      </c>
      <c r="H251" s="18">
        <f>IF(F251="","",F251*G251/15)</f>
        <v/>
      </c>
      <c r="I251" s="19" t="n"/>
      <c r="J251" s="19">
        <f>IF(H251="","",H251*I251)</f>
        <v/>
      </c>
      <c r="K251" s="19" t="n"/>
      <c r="L251" s="19">
        <f>IF(J251="","",J251+N(K251))</f>
        <v/>
      </c>
      <c r="M251" s="14" t="n"/>
    </row>
    <row r="252">
      <c r="A252" s="20" t="n"/>
      <c r="B252" s="21" t="n"/>
      <c r="C252" s="21" t="n"/>
      <c r="D252" s="21" t="n"/>
      <c r="E252" s="22" t="n"/>
      <c r="F252" s="23" t="n"/>
      <c r="G252" s="24" t="n">
        <v>0.52</v>
      </c>
      <c r="H252" s="25">
        <f>IF(F252="","",F252*G252/15)</f>
        <v/>
      </c>
      <c r="I252" s="26" t="n"/>
      <c r="J252" s="26">
        <f>IF(H252="","",H252*I252)</f>
        <v/>
      </c>
      <c r="K252" s="26" t="n"/>
      <c r="L252" s="26">
        <f>IF(J252="","",J252+N(K252))</f>
        <v/>
      </c>
      <c r="M252" s="21" t="n"/>
    </row>
    <row r="253">
      <c r="A253" s="13" t="n"/>
      <c r="B253" s="14" t="n"/>
      <c r="C253" s="14" t="n"/>
      <c r="D253" s="14" t="n"/>
      <c r="E253" s="15" t="n"/>
      <c r="F253" s="16" t="n"/>
      <c r="G253" s="17" t="n">
        <v>0.52</v>
      </c>
      <c r="H253" s="18">
        <f>IF(F253="","",F253*G253/15)</f>
        <v/>
      </c>
      <c r="I253" s="19" t="n"/>
      <c r="J253" s="19">
        <f>IF(H253="","",H253*I253)</f>
        <v/>
      </c>
      <c r="K253" s="19" t="n"/>
      <c r="L253" s="19">
        <f>IF(J253="","",J253+N(K253))</f>
        <v/>
      </c>
      <c r="M253" s="14" t="n"/>
    </row>
    <row r="254">
      <c r="A254" s="20" t="n"/>
      <c r="B254" s="21" t="n"/>
      <c r="C254" s="21" t="n"/>
      <c r="D254" s="21" t="n"/>
      <c r="E254" s="22" t="n"/>
      <c r="F254" s="23" t="n"/>
      <c r="G254" s="24" t="n">
        <v>0.52</v>
      </c>
      <c r="H254" s="25">
        <f>IF(F254="","",F254*G254/15)</f>
        <v/>
      </c>
      <c r="I254" s="26" t="n"/>
      <c r="J254" s="26">
        <f>IF(H254="","",H254*I254)</f>
        <v/>
      </c>
      <c r="K254" s="26" t="n"/>
      <c r="L254" s="26">
        <f>IF(J254="","",J254+N(K254))</f>
        <v/>
      </c>
      <c r="M254" s="21" t="n"/>
    </row>
    <row r="255">
      <c r="A255" s="13" t="n"/>
      <c r="B255" s="14" t="n"/>
      <c r="C255" s="14" t="n"/>
      <c r="D255" s="14" t="n"/>
      <c r="E255" s="15" t="n"/>
      <c r="F255" s="16" t="n"/>
      <c r="G255" s="17" t="n">
        <v>0.52</v>
      </c>
      <c r="H255" s="18">
        <f>IF(F255="","",F255*G255/15)</f>
        <v/>
      </c>
      <c r="I255" s="19" t="n"/>
      <c r="J255" s="19">
        <f>IF(H255="","",H255*I255)</f>
        <v/>
      </c>
      <c r="K255" s="19" t="n"/>
      <c r="L255" s="19">
        <f>IF(J255="","",J255+N(K255))</f>
        <v/>
      </c>
      <c r="M255" s="14" t="n"/>
    </row>
    <row r="256">
      <c r="A256" s="20" t="n"/>
      <c r="B256" s="21" t="n"/>
      <c r="C256" s="21" t="n"/>
      <c r="D256" s="21" t="n"/>
      <c r="E256" s="22" t="n"/>
      <c r="F256" s="23" t="n"/>
      <c r="G256" s="24" t="n">
        <v>0.52</v>
      </c>
      <c r="H256" s="25">
        <f>IF(F256="","",F256*G256/15)</f>
        <v/>
      </c>
      <c r="I256" s="26" t="n"/>
      <c r="J256" s="26">
        <f>IF(H256="","",H256*I256)</f>
        <v/>
      </c>
      <c r="K256" s="26" t="n"/>
      <c r="L256" s="26">
        <f>IF(J256="","",J256+N(K256))</f>
        <v/>
      </c>
      <c r="M256" s="21" t="n"/>
    </row>
    <row r="257">
      <c r="A257" s="13" t="n"/>
      <c r="B257" s="14" t="n"/>
      <c r="C257" s="14" t="n"/>
      <c r="D257" s="14" t="n"/>
      <c r="E257" s="15" t="n"/>
      <c r="F257" s="16" t="n"/>
      <c r="G257" s="17" t="n">
        <v>0.52</v>
      </c>
      <c r="H257" s="18">
        <f>IF(F257="","",F257*G257/15)</f>
        <v/>
      </c>
      <c r="I257" s="19" t="n"/>
      <c r="J257" s="19">
        <f>IF(H257="","",H257*I257)</f>
        <v/>
      </c>
      <c r="K257" s="19" t="n"/>
      <c r="L257" s="19">
        <f>IF(J257="","",J257+N(K257))</f>
        <v/>
      </c>
      <c r="M257" s="14" t="n"/>
    </row>
    <row r="258">
      <c r="A258" s="20" t="n"/>
      <c r="B258" s="21" t="n"/>
      <c r="C258" s="21" t="n"/>
      <c r="D258" s="21" t="n"/>
      <c r="E258" s="22" t="n"/>
      <c r="F258" s="23" t="n"/>
      <c r="G258" s="24" t="n">
        <v>0.52</v>
      </c>
      <c r="H258" s="25">
        <f>IF(F258="","",F258*G258/15)</f>
        <v/>
      </c>
      <c r="I258" s="26" t="n"/>
      <c r="J258" s="26">
        <f>IF(H258="","",H258*I258)</f>
        <v/>
      </c>
      <c r="K258" s="26" t="n"/>
      <c r="L258" s="26">
        <f>IF(J258="","",J258+N(K258))</f>
        <v/>
      </c>
      <c r="M258" s="21" t="n"/>
    </row>
    <row r="259">
      <c r="A259" s="13" t="n"/>
      <c r="B259" s="14" t="n"/>
      <c r="C259" s="14" t="n"/>
      <c r="D259" s="14" t="n"/>
      <c r="E259" s="15" t="n"/>
      <c r="F259" s="16" t="n"/>
      <c r="G259" s="17" t="n">
        <v>0.52</v>
      </c>
      <c r="H259" s="18">
        <f>IF(F259="","",F259*G259/15)</f>
        <v/>
      </c>
      <c r="I259" s="19" t="n"/>
      <c r="J259" s="19">
        <f>IF(H259="","",H259*I259)</f>
        <v/>
      </c>
      <c r="K259" s="19" t="n"/>
      <c r="L259" s="19">
        <f>IF(J259="","",J259+N(K259))</f>
        <v/>
      </c>
      <c r="M259" s="14" t="n"/>
    </row>
    <row r="260">
      <c r="A260" s="20" t="n"/>
      <c r="B260" s="21" t="n"/>
      <c r="C260" s="21" t="n"/>
      <c r="D260" s="21" t="n"/>
      <c r="E260" s="22" t="n"/>
      <c r="F260" s="23" t="n"/>
      <c r="G260" s="24" t="n">
        <v>0.52</v>
      </c>
      <c r="H260" s="25">
        <f>IF(F260="","",F260*G260/15)</f>
        <v/>
      </c>
      <c r="I260" s="26" t="n"/>
      <c r="J260" s="26">
        <f>IF(H260="","",H260*I260)</f>
        <v/>
      </c>
      <c r="K260" s="26" t="n"/>
      <c r="L260" s="26">
        <f>IF(J260="","",J260+N(K260))</f>
        <v/>
      </c>
      <c r="M260" s="21" t="n"/>
    </row>
    <row r="261">
      <c r="A261" s="13" t="n"/>
      <c r="B261" s="14" t="n"/>
      <c r="C261" s="14" t="n"/>
      <c r="D261" s="14" t="n"/>
      <c r="E261" s="15" t="n"/>
      <c r="F261" s="16" t="n"/>
      <c r="G261" s="17" t="n">
        <v>0.52</v>
      </c>
      <c r="H261" s="18">
        <f>IF(F261="","",F261*G261/15)</f>
        <v/>
      </c>
      <c r="I261" s="19" t="n"/>
      <c r="J261" s="19">
        <f>IF(H261="","",H261*I261)</f>
        <v/>
      </c>
      <c r="K261" s="19" t="n"/>
      <c r="L261" s="19">
        <f>IF(J261="","",J261+N(K261))</f>
        <v/>
      </c>
      <c r="M261" s="14" t="n"/>
    </row>
    <row r="262">
      <c r="A262" s="20" t="n"/>
      <c r="B262" s="21" t="n"/>
      <c r="C262" s="21" t="n"/>
      <c r="D262" s="21" t="n"/>
      <c r="E262" s="22" t="n"/>
      <c r="F262" s="23" t="n"/>
      <c r="G262" s="24" t="n">
        <v>0.52</v>
      </c>
      <c r="H262" s="25">
        <f>IF(F262="","",F262*G262/15)</f>
        <v/>
      </c>
      <c r="I262" s="26" t="n"/>
      <c r="J262" s="26">
        <f>IF(H262="","",H262*I262)</f>
        <v/>
      </c>
      <c r="K262" s="26" t="n"/>
      <c r="L262" s="26">
        <f>IF(J262="","",J262+N(K262))</f>
        <v/>
      </c>
      <c r="M262" s="21" t="n"/>
    </row>
    <row r="263">
      <c r="A263" s="13" t="n"/>
      <c r="B263" s="14" t="n"/>
      <c r="C263" s="14" t="n"/>
      <c r="D263" s="14" t="n"/>
      <c r="E263" s="15" t="n"/>
      <c r="F263" s="16" t="n"/>
      <c r="G263" s="17" t="n">
        <v>0.52</v>
      </c>
      <c r="H263" s="18">
        <f>IF(F263="","",F263*G263/15)</f>
        <v/>
      </c>
      <c r="I263" s="19" t="n"/>
      <c r="J263" s="19">
        <f>IF(H263="","",H263*I263)</f>
        <v/>
      </c>
      <c r="K263" s="19" t="n"/>
      <c r="L263" s="19">
        <f>IF(J263="","",J263+N(K263))</f>
        <v/>
      </c>
      <c r="M263" s="14" t="n"/>
    </row>
    <row r="264">
      <c r="A264" s="20" t="n"/>
      <c r="B264" s="21" t="n"/>
      <c r="C264" s="21" t="n"/>
      <c r="D264" s="21" t="n"/>
      <c r="E264" s="22" t="n"/>
      <c r="F264" s="23" t="n"/>
      <c r="G264" s="24" t="n">
        <v>0.52</v>
      </c>
      <c r="H264" s="25">
        <f>IF(F264="","",F264*G264/15)</f>
        <v/>
      </c>
      <c r="I264" s="26" t="n"/>
      <c r="J264" s="26">
        <f>IF(H264="","",H264*I264)</f>
        <v/>
      </c>
      <c r="K264" s="26" t="n"/>
      <c r="L264" s="26">
        <f>IF(J264="","",J264+N(K264))</f>
        <v/>
      </c>
      <c r="M264" s="21" t="n"/>
    </row>
    <row r="265">
      <c r="A265" s="13" t="n"/>
      <c r="B265" s="14" t="n"/>
      <c r="C265" s="14" t="n"/>
      <c r="D265" s="14" t="n"/>
      <c r="E265" s="15" t="n"/>
      <c r="F265" s="16" t="n"/>
      <c r="G265" s="17" t="n">
        <v>0.52</v>
      </c>
      <c r="H265" s="18">
        <f>IF(F265="","",F265*G265/15)</f>
        <v/>
      </c>
      <c r="I265" s="19" t="n"/>
      <c r="J265" s="19">
        <f>IF(H265="","",H265*I265)</f>
        <v/>
      </c>
      <c r="K265" s="19" t="n"/>
      <c r="L265" s="19">
        <f>IF(J265="","",J265+N(K265))</f>
        <v/>
      </c>
      <c r="M265" s="14" t="n"/>
    </row>
    <row r="266">
      <c r="A266" s="20" t="n"/>
      <c r="B266" s="21" t="n"/>
      <c r="C266" s="21" t="n"/>
      <c r="D266" s="21" t="n"/>
      <c r="E266" s="22" t="n"/>
      <c r="F266" s="23" t="n"/>
      <c r="G266" s="24" t="n">
        <v>0.52</v>
      </c>
      <c r="H266" s="25">
        <f>IF(F266="","",F266*G266/15)</f>
        <v/>
      </c>
      <c r="I266" s="26" t="n"/>
      <c r="J266" s="26">
        <f>IF(H266="","",H266*I266)</f>
        <v/>
      </c>
      <c r="K266" s="26" t="n"/>
      <c r="L266" s="26">
        <f>IF(J266="","",J266+N(K266))</f>
        <v/>
      </c>
      <c r="M266" s="21" t="n"/>
    </row>
    <row r="267">
      <c r="A267" s="13" t="n"/>
      <c r="B267" s="14" t="n"/>
      <c r="C267" s="14" t="n"/>
      <c r="D267" s="14" t="n"/>
      <c r="E267" s="15" t="n"/>
      <c r="F267" s="16" t="n"/>
      <c r="G267" s="17" t="n">
        <v>0.52</v>
      </c>
      <c r="H267" s="18">
        <f>IF(F267="","",F267*G267/15)</f>
        <v/>
      </c>
      <c r="I267" s="19" t="n"/>
      <c r="J267" s="19">
        <f>IF(H267="","",H267*I267)</f>
        <v/>
      </c>
      <c r="K267" s="19" t="n"/>
      <c r="L267" s="19">
        <f>IF(J267="","",J267+N(K267))</f>
        <v/>
      </c>
      <c r="M267" s="14" t="n"/>
    </row>
    <row r="268">
      <c r="A268" s="20" t="n"/>
      <c r="B268" s="21" t="n"/>
      <c r="C268" s="21" t="n"/>
      <c r="D268" s="21" t="n"/>
      <c r="E268" s="22" t="n"/>
      <c r="F268" s="23" t="n"/>
      <c r="G268" s="24" t="n">
        <v>0.52</v>
      </c>
      <c r="H268" s="25">
        <f>IF(F268="","",F268*G268/15)</f>
        <v/>
      </c>
      <c r="I268" s="26" t="n"/>
      <c r="J268" s="26">
        <f>IF(H268="","",H268*I268)</f>
        <v/>
      </c>
      <c r="K268" s="26" t="n"/>
      <c r="L268" s="26">
        <f>IF(J268="","",J268+N(K268))</f>
        <v/>
      </c>
      <c r="M268" s="21" t="n"/>
    </row>
    <row r="269">
      <c r="A269" s="13" t="n"/>
      <c r="B269" s="14" t="n"/>
      <c r="C269" s="14" t="n"/>
      <c r="D269" s="14" t="n"/>
      <c r="E269" s="15" t="n"/>
      <c r="F269" s="16" t="n"/>
      <c r="G269" s="17" t="n">
        <v>0.52</v>
      </c>
      <c r="H269" s="18">
        <f>IF(F269="","",F269*G269/15)</f>
        <v/>
      </c>
      <c r="I269" s="19" t="n"/>
      <c r="J269" s="19">
        <f>IF(H269="","",H269*I269)</f>
        <v/>
      </c>
      <c r="K269" s="19" t="n"/>
      <c r="L269" s="19">
        <f>IF(J269="","",J269+N(K269))</f>
        <v/>
      </c>
      <c r="M269" s="14" t="n"/>
    </row>
    <row r="270">
      <c r="A270" s="20" t="n"/>
      <c r="B270" s="21" t="n"/>
      <c r="C270" s="21" t="n"/>
      <c r="D270" s="21" t="n"/>
      <c r="E270" s="22" t="n"/>
      <c r="F270" s="23" t="n"/>
      <c r="G270" s="24" t="n">
        <v>0.52</v>
      </c>
      <c r="H270" s="25">
        <f>IF(F270="","",F270*G270/15)</f>
        <v/>
      </c>
      <c r="I270" s="26" t="n"/>
      <c r="J270" s="26">
        <f>IF(H270="","",H270*I270)</f>
        <v/>
      </c>
      <c r="K270" s="26" t="n"/>
      <c r="L270" s="26">
        <f>IF(J270="","",J270+N(K270))</f>
        <v/>
      </c>
      <c r="M270" s="21" t="n"/>
    </row>
    <row r="271">
      <c r="A271" s="13" t="n"/>
      <c r="B271" s="14" t="n"/>
      <c r="C271" s="14" t="n"/>
      <c r="D271" s="14" t="n"/>
      <c r="E271" s="15" t="n"/>
      <c r="F271" s="16" t="n"/>
      <c r="G271" s="17" t="n">
        <v>0.52</v>
      </c>
      <c r="H271" s="18">
        <f>IF(F271="","",F271*G271/15)</f>
        <v/>
      </c>
      <c r="I271" s="19" t="n"/>
      <c r="J271" s="19">
        <f>IF(H271="","",H271*I271)</f>
        <v/>
      </c>
      <c r="K271" s="19" t="n"/>
      <c r="L271" s="19">
        <f>IF(J271="","",J271+N(K271))</f>
        <v/>
      </c>
      <c r="M271" s="14" t="n"/>
    </row>
    <row r="272">
      <c r="A272" s="20" t="n"/>
      <c r="B272" s="21" t="n"/>
      <c r="C272" s="21" t="n"/>
      <c r="D272" s="21" t="n"/>
      <c r="E272" s="22" t="n"/>
      <c r="F272" s="23" t="n"/>
      <c r="G272" s="24" t="n">
        <v>0.52</v>
      </c>
      <c r="H272" s="25">
        <f>IF(F272="","",F272*G272/15)</f>
        <v/>
      </c>
      <c r="I272" s="26" t="n"/>
      <c r="J272" s="26">
        <f>IF(H272="","",H272*I272)</f>
        <v/>
      </c>
      <c r="K272" s="26" t="n"/>
      <c r="L272" s="26">
        <f>IF(J272="","",J272+N(K272))</f>
        <v/>
      </c>
      <c r="M272" s="21" t="n"/>
    </row>
    <row r="273">
      <c r="A273" s="13" t="n"/>
      <c r="B273" s="14" t="n"/>
      <c r="C273" s="14" t="n"/>
      <c r="D273" s="14" t="n"/>
      <c r="E273" s="15" t="n"/>
      <c r="F273" s="16" t="n"/>
      <c r="G273" s="17" t="n">
        <v>0.52</v>
      </c>
      <c r="H273" s="18">
        <f>IF(F273="","",F273*G273/15)</f>
        <v/>
      </c>
      <c r="I273" s="19" t="n"/>
      <c r="J273" s="19">
        <f>IF(H273="","",H273*I273)</f>
        <v/>
      </c>
      <c r="K273" s="19" t="n"/>
      <c r="L273" s="19">
        <f>IF(J273="","",J273+N(K273))</f>
        <v/>
      </c>
      <c r="M273" s="14" t="n"/>
    </row>
    <row r="274">
      <c r="A274" s="20" t="n"/>
      <c r="B274" s="21" t="n"/>
      <c r="C274" s="21" t="n"/>
      <c r="D274" s="21" t="n"/>
      <c r="E274" s="22" t="n"/>
      <c r="F274" s="23" t="n"/>
      <c r="G274" s="24" t="n">
        <v>0.52</v>
      </c>
      <c r="H274" s="25">
        <f>IF(F274="","",F274*G274/15)</f>
        <v/>
      </c>
      <c r="I274" s="26" t="n"/>
      <c r="J274" s="26">
        <f>IF(H274="","",H274*I274)</f>
        <v/>
      </c>
      <c r="K274" s="26" t="n"/>
      <c r="L274" s="26">
        <f>IF(J274="","",J274+N(K274))</f>
        <v/>
      </c>
      <c r="M274" s="21" t="n"/>
    </row>
    <row r="275">
      <c r="A275" s="13" t="n"/>
      <c r="B275" s="14" t="n"/>
      <c r="C275" s="14" t="n"/>
      <c r="D275" s="14" t="n"/>
      <c r="E275" s="15" t="n"/>
      <c r="F275" s="16" t="n"/>
      <c r="G275" s="17" t="n">
        <v>0.52</v>
      </c>
      <c r="H275" s="18">
        <f>IF(F275="","",F275*G275/15)</f>
        <v/>
      </c>
      <c r="I275" s="19" t="n"/>
      <c r="J275" s="19">
        <f>IF(H275="","",H275*I275)</f>
        <v/>
      </c>
      <c r="K275" s="19" t="n"/>
      <c r="L275" s="19">
        <f>IF(J275="","",J275+N(K275))</f>
        <v/>
      </c>
      <c r="M275" s="14" t="n"/>
    </row>
    <row r="276">
      <c r="A276" s="20" t="n"/>
      <c r="B276" s="21" t="n"/>
      <c r="C276" s="21" t="n"/>
      <c r="D276" s="21" t="n"/>
      <c r="E276" s="22" t="n"/>
      <c r="F276" s="23" t="n"/>
      <c r="G276" s="24" t="n">
        <v>0.52</v>
      </c>
      <c r="H276" s="25">
        <f>IF(F276="","",F276*G276/15)</f>
        <v/>
      </c>
      <c r="I276" s="26" t="n"/>
      <c r="J276" s="26">
        <f>IF(H276="","",H276*I276)</f>
        <v/>
      </c>
      <c r="K276" s="26" t="n"/>
      <c r="L276" s="26">
        <f>IF(J276="","",J276+N(K276))</f>
        <v/>
      </c>
      <c r="M276" s="21" t="n"/>
    </row>
    <row r="277">
      <c r="A277" s="13" t="n"/>
      <c r="B277" s="14" t="n"/>
      <c r="C277" s="14" t="n"/>
      <c r="D277" s="14" t="n"/>
      <c r="E277" s="15" t="n"/>
      <c r="F277" s="16" t="n"/>
      <c r="G277" s="17" t="n">
        <v>0.52</v>
      </c>
      <c r="H277" s="18">
        <f>IF(F277="","",F277*G277/15)</f>
        <v/>
      </c>
      <c r="I277" s="19" t="n"/>
      <c r="J277" s="19">
        <f>IF(H277="","",H277*I277)</f>
        <v/>
      </c>
      <c r="K277" s="19" t="n"/>
      <c r="L277" s="19">
        <f>IF(J277="","",J277+N(K277))</f>
        <v/>
      </c>
      <c r="M277" s="14" t="n"/>
    </row>
    <row r="278">
      <c r="A278" s="20" t="n"/>
      <c r="B278" s="21" t="n"/>
      <c r="C278" s="21" t="n"/>
      <c r="D278" s="21" t="n"/>
      <c r="E278" s="22" t="n"/>
      <c r="F278" s="23" t="n"/>
      <c r="G278" s="24" t="n">
        <v>0.52</v>
      </c>
      <c r="H278" s="25">
        <f>IF(F278="","",F278*G278/15)</f>
        <v/>
      </c>
      <c r="I278" s="26" t="n"/>
      <c r="J278" s="26">
        <f>IF(H278="","",H278*I278)</f>
        <v/>
      </c>
      <c r="K278" s="26" t="n"/>
      <c r="L278" s="26">
        <f>IF(J278="","",J278+N(K278))</f>
        <v/>
      </c>
      <c r="M278" s="21" t="n"/>
    </row>
    <row r="279">
      <c r="A279" s="13" t="n"/>
      <c r="B279" s="14" t="n"/>
      <c r="C279" s="14" t="n"/>
      <c r="D279" s="14" t="n"/>
      <c r="E279" s="15" t="n"/>
      <c r="F279" s="16" t="n"/>
      <c r="G279" s="17" t="n">
        <v>0.52</v>
      </c>
      <c r="H279" s="18">
        <f>IF(F279="","",F279*G279/15)</f>
        <v/>
      </c>
      <c r="I279" s="19" t="n"/>
      <c r="J279" s="19">
        <f>IF(H279="","",H279*I279)</f>
        <v/>
      </c>
      <c r="K279" s="19" t="n"/>
      <c r="L279" s="19">
        <f>IF(J279="","",J279+N(K279))</f>
        <v/>
      </c>
      <c r="M279" s="14" t="n"/>
    </row>
    <row r="280">
      <c r="A280" s="20" t="n"/>
      <c r="B280" s="21" t="n"/>
      <c r="C280" s="21" t="n"/>
      <c r="D280" s="21" t="n"/>
      <c r="E280" s="22" t="n"/>
      <c r="F280" s="23" t="n"/>
      <c r="G280" s="24" t="n">
        <v>0.52</v>
      </c>
      <c r="H280" s="25">
        <f>IF(F280="","",F280*G280/15)</f>
        <v/>
      </c>
      <c r="I280" s="26" t="n"/>
      <c r="J280" s="26">
        <f>IF(H280="","",H280*I280)</f>
        <v/>
      </c>
      <c r="K280" s="26" t="n"/>
      <c r="L280" s="26">
        <f>IF(J280="","",J280+N(K280))</f>
        <v/>
      </c>
      <c r="M280" s="21" t="n"/>
    </row>
    <row r="281">
      <c r="A281" s="13" t="n"/>
      <c r="B281" s="14" t="n"/>
      <c r="C281" s="14" t="n"/>
      <c r="D281" s="14" t="n"/>
      <c r="E281" s="15" t="n"/>
      <c r="F281" s="16" t="n"/>
      <c r="G281" s="17" t="n">
        <v>0.52</v>
      </c>
      <c r="H281" s="18">
        <f>IF(F281="","",F281*G281/15)</f>
        <v/>
      </c>
      <c r="I281" s="19" t="n"/>
      <c r="J281" s="19">
        <f>IF(H281="","",H281*I281)</f>
        <v/>
      </c>
      <c r="K281" s="19" t="n"/>
      <c r="L281" s="19">
        <f>IF(J281="","",J281+N(K281))</f>
        <v/>
      </c>
      <c r="M281" s="14" t="n"/>
    </row>
    <row r="282">
      <c r="A282" s="20" t="n"/>
      <c r="B282" s="21" t="n"/>
      <c r="C282" s="21" t="n"/>
      <c r="D282" s="21" t="n"/>
      <c r="E282" s="22" t="n"/>
      <c r="F282" s="23" t="n"/>
      <c r="G282" s="24" t="n">
        <v>0.52</v>
      </c>
      <c r="H282" s="25">
        <f>IF(F282="","",F282*G282/15)</f>
        <v/>
      </c>
      <c r="I282" s="26" t="n"/>
      <c r="J282" s="26">
        <f>IF(H282="","",H282*I282)</f>
        <v/>
      </c>
      <c r="K282" s="26" t="n"/>
      <c r="L282" s="26">
        <f>IF(J282="","",J282+N(K282))</f>
        <v/>
      </c>
      <c r="M282" s="21" t="n"/>
    </row>
    <row r="283">
      <c r="A283" s="13" t="n"/>
      <c r="B283" s="14" t="n"/>
      <c r="C283" s="14" t="n"/>
      <c r="D283" s="14" t="n"/>
      <c r="E283" s="15" t="n"/>
      <c r="F283" s="16" t="n"/>
      <c r="G283" s="17" t="n">
        <v>0.52</v>
      </c>
      <c r="H283" s="18">
        <f>IF(F283="","",F283*G283/15)</f>
        <v/>
      </c>
      <c r="I283" s="19" t="n"/>
      <c r="J283" s="19">
        <f>IF(H283="","",H283*I283)</f>
        <v/>
      </c>
      <c r="K283" s="19" t="n"/>
      <c r="L283" s="19">
        <f>IF(J283="","",J283+N(K283))</f>
        <v/>
      </c>
      <c r="M283" s="14" t="n"/>
    </row>
    <row r="284">
      <c r="A284" s="20" t="n"/>
      <c r="B284" s="21" t="n"/>
      <c r="C284" s="21" t="n"/>
      <c r="D284" s="21" t="n"/>
      <c r="E284" s="22" t="n"/>
      <c r="F284" s="23" t="n"/>
      <c r="G284" s="24" t="n">
        <v>0.52</v>
      </c>
      <c r="H284" s="25">
        <f>IF(F284="","",F284*G284/15)</f>
        <v/>
      </c>
      <c r="I284" s="26" t="n"/>
      <c r="J284" s="26">
        <f>IF(H284="","",H284*I284)</f>
        <v/>
      </c>
      <c r="K284" s="26" t="n"/>
      <c r="L284" s="26">
        <f>IF(J284="","",J284+N(K284))</f>
        <v/>
      </c>
      <c r="M284" s="21" t="n"/>
    </row>
    <row r="285">
      <c r="A285" s="13" t="n"/>
      <c r="B285" s="14" t="n"/>
      <c r="C285" s="14" t="n"/>
      <c r="D285" s="14" t="n"/>
      <c r="E285" s="15" t="n"/>
      <c r="F285" s="16" t="n"/>
      <c r="G285" s="17" t="n">
        <v>0.52</v>
      </c>
      <c r="H285" s="18">
        <f>IF(F285="","",F285*G285/15)</f>
        <v/>
      </c>
      <c r="I285" s="19" t="n"/>
      <c r="J285" s="19">
        <f>IF(H285="","",H285*I285)</f>
        <v/>
      </c>
      <c r="K285" s="19" t="n"/>
      <c r="L285" s="19">
        <f>IF(J285="","",J285+N(K285))</f>
        <v/>
      </c>
      <c r="M285" s="14" t="n"/>
    </row>
    <row r="286">
      <c r="A286" s="20" t="n"/>
      <c r="B286" s="21" t="n"/>
      <c r="C286" s="21" t="n"/>
      <c r="D286" s="21" t="n"/>
      <c r="E286" s="22" t="n"/>
      <c r="F286" s="23" t="n"/>
      <c r="G286" s="24" t="n">
        <v>0.52</v>
      </c>
      <c r="H286" s="25">
        <f>IF(F286="","",F286*G286/15)</f>
        <v/>
      </c>
      <c r="I286" s="26" t="n"/>
      <c r="J286" s="26">
        <f>IF(H286="","",H286*I286)</f>
        <v/>
      </c>
      <c r="K286" s="26" t="n"/>
      <c r="L286" s="26">
        <f>IF(J286="","",J286+N(K286))</f>
        <v/>
      </c>
      <c r="M286" s="21" t="n"/>
    </row>
    <row r="287">
      <c r="A287" s="13" t="n"/>
      <c r="B287" s="14" t="n"/>
      <c r="C287" s="14" t="n"/>
      <c r="D287" s="14" t="n"/>
      <c r="E287" s="15" t="n"/>
      <c r="F287" s="16" t="n"/>
      <c r="G287" s="17" t="n">
        <v>0.52</v>
      </c>
      <c r="H287" s="18">
        <f>IF(F287="","",F287*G287/15)</f>
        <v/>
      </c>
      <c r="I287" s="19" t="n"/>
      <c r="J287" s="19">
        <f>IF(H287="","",H287*I287)</f>
        <v/>
      </c>
      <c r="K287" s="19" t="n"/>
      <c r="L287" s="19">
        <f>IF(J287="","",J287+N(K287))</f>
        <v/>
      </c>
      <c r="M287" s="14" t="n"/>
    </row>
    <row r="288">
      <c r="A288" s="20" t="n"/>
      <c r="B288" s="21" t="n"/>
      <c r="C288" s="21" t="n"/>
      <c r="D288" s="21" t="n"/>
      <c r="E288" s="22" t="n"/>
      <c r="F288" s="23" t="n"/>
      <c r="G288" s="24" t="n">
        <v>0.52</v>
      </c>
      <c r="H288" s="25">
        <f>IF(F288="","",F288*G288/15)</f>
        <v/>
      </c>
      <c r="I288" s="26" t="n"/>
      <c r="J288" s="26">
        <f>IF(H288="","",H288*I288)</f>
        <v/>
      </c>
      <c r="K288" s="26" t="n"/>
      <c r="L288" s="26">
        <f>IF(J288="","",J288+N(K288))</f>
        <v/>
      </c>
      <c r="M288" s="21" t="n"/>
    </row>
    <row r="289">
      <c r="A289" s="13" t="n"/>
      <c r="B289" s="14" t="n"/>
      <c r="C289" s="14" t="n"/>
      <c r="D289" s="14" t="n"/>
      <c r="E289" s="15" t="n"/>
      <c r="F289" s="16" t="n"/>
      <c r="G289" s="17" t="n">
        <v>0.52</v>
      </c>
      <c r="H289" s="18">
        <f>IF(F289="","",F289*G289/15)</f>
        <v/>
      </c>
      <c r="I289" s="19" t="n"/>
      <c r="J289" s="19">
        <f>IF(H289="","",H289*I289)</f>
        <v/>
      </c>
      <c r="K289" s="19" t="n"/>
      <c r="L289" s="19">
        <f>IF(J289="","",J289+N(K289))</f>
        <v/>
      </c>
      <c r="M289" s="14" t="n"/>
    </row>
    <row r="290">
      <c r="A290" s="20" t="n"/>
      <c r="B290" s="21" t="n"/>
      <c r="C290" s="21" t="n"/>
      <c r="D290" s="21" t="n"/>
      <c r="E290" s="22" t="n"/>
      <c r="F290" s="23" t="n"/>
      <c r="G290" s="24" t="n">
        <v>0.52</v>
      </c>
      <c r="H290" s="25">
        <f>IF(F290="","",F290*G290/15)</f>
        <v/>
      </c>
      <c r="I290" s="26" t="n"/>
      <c r="J290" s="26">
        <f>IF(H290="","",H290*I290)</f>
        <v/>
      </c>
      <c r="K290" s="26" t="n"/>
      <c r="L290" s="26">
        <f>IF(J290="","",J290+N(K290))</f>
        <v/>
      </c>
      <c r="M290" s="21" t="n"/>
    </row>
    <row r="291">
      <c r="A291" s="13" t="n"/>
      <c r="B291" s="14" t="n"/>
      <c r="C291" s="14" t="n"/>
      <c r="D291" s="14" t="n"/>
      <c r="E291" s="15" t="n"/>
      <c r="F291" s="16" t="n"/>
      <c r="G291" s="17" t="n">
        <v>0.52</v>
      </c>
      <c r="H291" s="18">
        <f>IF(F291="","",F291*G291/15)</f>
        <v/>
      </c>
      <c r="I291" s="19" t="n"/>
      <c r="J291" s="19">
        <f>IF(H291="","",H291*I291)</f>
        <v/>
      </c>
      <c r="K291" s="19" t="n"/>
      <c r="L291" s="19">
        <f>IF(J291="","",J291+N(K291))</f>
        <v/>
      </c>
      <c r="M291" s="14" t="n"/>
    </row>
    <row r="292">
      <c r="A292" s="20" t="n"/>
      <c r="B292" s="21" t="n"/>
      <c r="C292" s="21" t="n"/>
      <c r="D292" s="21" t="n"/>
      <c r="E292" s="22" t="n"/>
      <c r="F292" s="23" t="n"/>
      <c r="G292" s="24" t="n">
        <v>0.52</v>
      </c>
      <c r="H292" s="25">
        <f>IF(F292="","",F292*G292/15)</f>
        <v/>
      </c>
      <c r="I292" s="26" t="n"/>
      <c r="J292" s="26">
        <f>IF(H292="","",H292*I292)</f>
        <v/>
      </c>
      <c r="K292" s="26" t="n"/>
      <c r="L292" s="26">
        <f>IF(J292="","",J292+N(K292))</f>
        <v/>
      </c>
      <c r="M292" s="21" t="n"/>
    </row>
    <row r="293">
      <c r="A293" s="13" t="n"/>
      <c r="B293" s="14" t="n"/>
      <c r="C293" s="14" t="n"/>
      <c r="D293" s="14" t="n"/>
      <c r="E293" s="15" t="n"/>
      <c r="F293" s="16" t="n"/>
      <c r="G293" s="17" t="n">
        <v>0.52</v>
      </c>
      <c r="H293" s="18">
        <f>IF(F293="","",F293*G293/15)</f>
        <v/>
      </c>
      <c r="I293" s="19" t="n"/>
      <c r="J293" s="19">
        <f>IF(H293="","",H293*I293)</f>
        <v/>
      </c>
      <c r="K293" s="19" t="n"/>
      <c r="L293" s="19">
        <f>IF(J293="","",J293+N(K293))</f>
        <v/>
      </c>
      <c r="M293" s="14" t="n"/>
    </row>
    <row r="294">
      <c r="A294" s="20" t="n"/>
      <c r="B294" s="21" t="n"/>
      <c r="C294" s="21" t="n"/>
      <c r="D294" s="21" t="n"/>
      <c r="E294" s="22" t="n"/>
      <c r="F294" s="23" t="n"/>
      <c r="G294" s="24" t="n">
        <v>0.52</v>
      </c>
      <c r="H294" s="25">
        <f>IF(F294="","",F294*G294/15)</f>
        <v/>
      </c>
      <c r="I294" s="26" t="n"/>
      <c r="J294" s="26">
        <f>IF(H294="","",H294*I294)</f>
        <v/>
      </c>
      <c r="K294" s="26" t="n"/>
      <c r="L294" s="26">
        <f>IF(J294="","",J294+N(K294))</f>
        <v/>
      </c>
      <c r="M294" s="21" t="n"/>
    </row>
    <row r="295">
      <c r="A295" s="13" t="n"/>
      <c r="B295" s="14" t="n"/>
      <c r="C295" s="14" t="n"/>
      <c r="D295" s="14" t="n"/>
      <c r="E295" s="15" t="n"/>
      <c r="F295" s="16" t="n"/>
      <c r="G295" s="17" t="n">
        <v>0.52</v>
      </c>
      <c r="H295" s="18">
        <f>IF(F295="","",F295*G295/15)</f>
        <v/>
      </c>
      <c r="I295" s="19" t="n"/>
      <c r="J295" s="19">
        <f>IF(H295="","",H295*I295)</f>
        <v/>
      </c>
      <c r="K295" s="19" t="n"/>
      <c r="L295" s="19">
        <f>IF(J295="","",J295+N(K295))</f>
        <v/>
      </c>
      <c r="M295" s="14" t="n"/>
    </row>
    <row r="296">
      <c r="A296" s="20" t="n"/>
      <c r="B296" s="21" t="n"/>
      <c r="C296" s="21" t="n"/>
      <c r="D296" s="21" t="n"/>
      <c r="E296" s="22" t="n"/>
      <c r="F296" s="23" t="n"/>
      <c r="G296" s="24" t="n">
        <v>0.52</v>
      </c>
      <c r="H296" s="25">
        <f>IF(F296="","",F296*G296/15)</f>
        <v/>
      </c>
      <c r="I296" s="26" t="n"/>
      <c r="J296" s="26">
        <f>IF(H296="","",H296*I296)</f>
        <v/>
      </c>
      <c r="K296" s="26" t="n"/>
      <c r="L296" s="26">
        <f>IF(J296="","",J296+N(K296))</f>
        <v/>
      </c>
      <c r="M296" s="21" t="n"/>
    </row>
    <row r="297">
      <c r="A297" s="13" t="n"/>
      <c r="B297" s="14" t="n"/>
      <c r="C297" s="14" t="n"/>
      <c r="D297" s="14" t="n"/>
      <c r="E297" s="15" t="n"/>
      <c r="F297" s="16" t="n"/>
      <c r="G297" s="17" t="n">
        <v>0.52</v>
      </c>
      <c r="H297" s="18">
        <f>IF(F297="","",F297*G297/15)</f>
        <v/>
      </c>
      <c r="I297" s="19" t="n"/>
      <c r="J297" s="19">
        <f>IF(H297="","",H297*I297)</f>
        <v/>
      </c>
      <c r="K297" s="19" t="n"/>
      <c r="L297" s="19">
        <f>IF(J297="","",J297+N(K297))</f>
        <v/>
      </c>
      <c r="M297" s="14" t="n"/>
    </row>
    <row r="298">
      <c r="A298" s="20" t="n"/>
      <c r="B298" s="21" t="n"/>
      <c r="C298" s="21" t="n"/>
      <c r="D298" s="21" t="n"/>
      <c r="E298" s="22" t="n"/>
      <c r="F298" s="23" t="n"/>
      <c r="G298" s="24" t="n">
        <v>0.52</v>
      </c>
      <c r="H298" s="25">
        <f>IF(F298="","",F298*G298/15)</f>
        <v/>
      </c>
      <c r="I298" s="26" t="n"/>
      <c r="J298" s="26">
        <f>IF(H298="","",H298*I298)</f>
        <v/>
      </c>
      <c r="K298" s="26" t="n"/>
      <c r="L298" s="26">
        <f>IF(J298="","",J298+N(K298))</f>
        <v/>
      </c>
      <c r="M298" s="21" t="n"/>
    </row>
    <row r="299">
      <c r="A299" s="13" t="n"/>
      <c r="B299" s="14" t="n"/>
      <c r="C299" s="14" t="n"/>
      <c r="D299" s="14" t="n"/>
      <c r="E299" s="15" t="n"/>
      <c r="F299" s="16" t="n"/>
      <c r="G299" s="17" t="n">
        <v>0.52</v>
      </c>
      <c r="H299" s="18">
        <f>IF(F299="","",F299*G299/15)</f>
        <v/>
      </c>
      <c r="I299" s="19" t="n"/>
      <c r="J299" s="19">
        <f>IF(H299="","",H299*I299)</f>
        <v/>
      </c>
      <c r="K299" s="19" t="n"/>
      <c r="L299" s="19">
        <f>IF(J299="","",J299+N(K299))</f>
        <v/>
      </c>
      <c r="M299" s="14" t="n"/>
    </row>
    <row r="300">
      <c r="A300" s="20" t="n"/>
      <c r="B300" s="21" t="n"/>
      <c r="C300" s="21" t="n"/>
      <c r="D300" s="21" t="n"/>
      <c r="E300" s="22" t="n"/>
      <c r="F300" s="23" t="n"/>
      <c r="G300" s="24" t="n">
        <v>0.52</v>
      </c>
      <c r="H300" s="25">
        <f>IF(F300="","",F300*G300/15)</f>
        <v/>
      </c>
      <c r="I300" s="26" t="n"/>
      <c r="J300" s="26">
        <f>IF(H300="","",H300*I300)</f>
        <v/>
      </c>
      <c r="K300" s="26" t="n"/>
      <c r="L300" s="26">
        <f>IF(J300="","",J300+N(K300))</f>
        <v/>
      </c>
      <c r="M300" s="21" t="n"/>
    </row>
    <row r="301">
      <c r="A301" s="13" t="n"/>
      <c r="B301" s="14" t="n"/>
      <c r="C301" s="14" t="n"/>
      <c r="D301" s="14" t="n"/>
      <c r="E301" s="15" t="n"/>
      <c r="F301" s="16" t="n"/>
      <c r="G301" s="17" t="n">
        <v>0.52</v>
      </c>
      <c r="H301" s="18">
        <f>IF(F301="","",F301*G301/15)</f>
        <v/>
      </c>
      <c r="I301" s="19" t="n"/>
      <c r="J301" s="19">
        <f>IF(H301="","",H301*I301)</f>
        <v/>
      </c>
      <c r="K301" s="19" t="n"/>
      <c r="L301" s="19">
        <f>IF(J301="","",J301+N(K301))</f>
        <v/>
      </c>
      <c r="M301" s="14" t="n"/>
    </row>
    <row r="302">
      <c r="A302" s="20" t="n"/>
      <c r="B302" s="21" t="n"/>
      <c r="C302" s="21" t="n"/>
      <c r="D302" s="21" t="n"/>
      <c r="E302" s="22" t="n"/>
      <c r="F302" s="23" t="n"/>
      <c r="G302" s="24" t="n">
        <v>0.52</v>
      </c>
      <c r="H302" s="25">
        <f>IF(F302="","",F302*G302/15)</f>
        <v/>
      </c>
      <c r="I302" s="26" t="n"/>
      <c r="J302" s="26">
        <f>IF(H302="","",H302*I302)</f>
        <v/>
      </c>
      <c r="K302" s="26" t="n"/>
      <c r="L302" s="26">
        <f>IF(J302="","",J302+N(K302))</f>
        <v/>
      </c>
      <c r="M302" s="21" t="n"/>
    </row>
  </sheetData>
  <mergeCells count="1">
    <mergeCell ref="A1:M1"/>
  </mergeCells>
  <dataValidations count="1">
    <dataValidation sqref="D3:D302" showDropDown="0" showInputMessage="0" showErrorMessage="0" allowBlank="1" type="list">
      <formula1>"Boi,Vaca,Novilha,Garrote,Bezerro,Bezerra"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0" customWidth="1" min="5" max="5"/>
    <col width="15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30" customHeight="1">
      <c r="A1" s="1" t="inlineStr">
        <is>
          <t>⚖️ PESAGENS — vem do aplicativo (ou digite à mão)</t>
        </is>
      </c>
    </row>
    <row r="2" ht="30" customHeight="1">
      <c r="A2" s="12" t="inlineStr">
        <is>
          <t>DATA</t>
        </is>
      </c>
      <c r="B2" s="12" t="inlineStr">
        <is>
          <t>LOTE</t>
        </is>
      </c>
      <c r="C2" s="12" t="inlineStr">
        <is>
          <t>VENDEDOR / ORIGEM</t>
        </is>
      </c>
      <c r="D2" s="12" t="inlineStr">
        <is>
          <t>Nº DO BRINCO</t>
        </is>
      </c>
      <c r="E2" s="12" t="inlineStr">
        <is>
          <t>CABEÇAS</t>
        </is>
      </c>
      <c r="F2" s="12" t="inlineStr">
        <is>
          <t>PESO NA BALANÇA</t>
        </is>
      </c>
      <c r="G2" s="12" t="inlineStr">
        <is>
          <t>DESCONTO POR CAB.</t>
        </is>
      </c>
      <c r="H2" s="12" t="inlineStr">
        <is>
          <t>PESO LÍQUIDO</t>
        </is>
      </c>
      <c r="I2" s="12" t="inlineStr">
        <is>
          <t>RENDIMENTO</t>
        </is>
      </c>
      <c r="J2" s="12" t="inlineStr">
        <is>
          <t>ARROBAS</t>
        </is>
      </c>
      <c r="K2" s="12" t="inlineStr">
        <is>
          <t>R$/@</t>
        </is>
      </c>
      <c r="L2" s="12" t="inlineStr">
        <is>
          <t>VALOR</t>
        </is>
      </c>
    </row>
    <row r="3">
      <c r="A3" s="13" t="n"/>
      <c r="B3" s="14" t="n"/>
      <c r="C3" s="14" t="n"/>
      <c r="D3" s="27" t="n"/>
      <c r="E3" s="15" t="n"/>
      <c r="F3" s="16" t="n"/>
      <c r="G3" s="16" t="n"/>
      <c r="H3" s="16">
        <f>IF(F3="","",MAX(0,F3-N(G3)*N(E3)))</f>
        <v/>
      </c>
      <c r="I3" s="17" t="n">
        <v>0.52</v>
      </c>
      <c r="J3" s="18">
        <f>IF(H3="","",H3*N(I3)/15)</f>
        <v/>
      </c>
      <c r="K3" s="19" t="n"/>
      <c r="L3" s="19">
        <f>IF(J3="","",J3*N(K3))</f>
        <v/>
      </c>
    </row>
    <row r="4">
      <c r="A4" s="20" t="n"/>
      <c r="B4" s="21" t="n"/>
      <c r="C4" s="21" t="n"/>
      <c r="D4" s="28" t="n"/>
      <c r="E4" s="22" t="n"/>
      <c r="F4" s="23" t="n"/>
      <c r="G4" s="23" t="n"/>
      <c r="H4" s="23">
        <f>IF(F4="","",MAX(0,F4-N(G4)*N(E4)))</f>
        <v/>
      </c>
      <c r="I4" s="24" t="n">
        <v>0.52</v>
      </c>
      <c r="J4" s="25">
        <f>IF(H4="","",H4*N(I4)/15)</f>
        <v/>
      </c>
      <c r="K4" s="26" t="n"/>
      <c r="L4" s="26">
        <f>IF(J4="","",J4*N(K4))</f>
        <v/>
      </c>
    </row>
    <row r="5">
      <c r="A5" s="13" t="n"/>
      <c r="B5" s="14" t="n"/>
      <c r="C5" s="14" t="n"/>
      <c r="D5" s="27" t="n"/>
      <c r="E5" s="15" t="n"/>
      <c r="F5" s="16" t="n"/>
      <c r="G5" s="16" t="n"/>
      <c r="H5" s="16">
        <f>IF(F5="","",MAX(0,F5-N(G5)*N(E5)))</f>
        <v/>
      </c>
      <c r="I5" s="17" t="n">
        <v>0.52</v>
      </c>
      <c r="J5" s="18">
        <f>IF(H5="","",H5*N(I5)/15)</f>
        <v/>
      </c>
      <c r="K5" s="19" t="n"/>
      <c r="L5" s="19">
        <f>IF(J5="","",J5*N(K5))</f>
        <v/>
      </c>
    </row>
    <row r="6">
      <c r="A6" s="20" t="n"/>
      <c r="B6" s="21" t="n"/>
      <c r="C6" s="21" t="n"/>
      <c r="D6" s="28" t="n"/>
      <c r="E6" s="22" t="n"/>
      <c r="F6" s="23" t="n"/>
      <c r="G6" s="23" t="n"/>
      <c r="H6" s="23">
        <f>IF(F6="","",MAX(0,F6-N(G6)*N(E6)))</f>
        <v/>
      </c>
      <c r="I6" s="24" t="n">
        <v>0.52</v>
      </c>
      <c r="J6" s="25">
        <f>IF(H6="","",H6*N(I6)/15)</f>
        <v/>
      </c>
      <c r="K6" s="26" t="n"/>
      <c r="L6" s="26">
        <f>IF(J6="","",J6*N(K6))</f>
        <v/>
      </c>
    </row>
    <row r="7">
      <c r="A7" s="13" t="n"/>
      <c r="B7" s="14" t="n"/>
      <c r="C7" s="14" t="n"/>
      <c r="D7" s="27" t="n"/>
      <c r="E7" s="15" t="n"/>
      <c r="F7" s="16" t="n"/>
      <c r="G7" s="16" t="n"/>
      <c r="H7" s="16">
        <f>IF(F7="","",MAX(0,F7-N(G7)*N(E7)))</f>
        <v/>
      </c>
      <c r="I7" s="17" t="n">
        <v>0.52</v>
      </c>
      <c r="J7" s="18">
        <f>IF(H7="","",H7*N(I7)/15)</f>
        <v/>
      </c>
      <c r="K7" s="19" t="n"/>
      <c r="L7" s="19">
        <f>IF(J7="","",J7*N(K7))</f>
        <v/>
      </c>
    </row>
    <row r="8">
      <c r="A8" s="20" t="n"/>
      <c r="B8" s="21" t="n"/>
      <c r="C8" s="21" t="n"/>
      <c r="D8" s="28" t="n"/>
      <c r="E8" s="22" t="n"/>
      <c r="F8" s="23" t="n"/>
      <c r="G8" s="23" t="n"/>
      <c r="H8" s="23">
        <f>IF(F8="","",MAX(0,F8-N(G8)*N(E8)))</f>
        <v/>
      </c>
      <c r="I8" s="24" t="n">
        <v>0.52</v>
      </c>
      <c r="J8" s="25">
        <f>IF(H8="","",H8*N(I8)/15)</f>
        <v/>
      </c>
      <c r="K8" s="26" t="n"/>
      <c r="L8" s="26">
        <f>IF(J8="","",J8*N(K8))</f>
        <v/>
      </c>
    </row>
    <row r="9">
      <c r="A9" s="13" t="n"/>
      <c r="B9" s="14" t="n"/>
      <c r="C9" s="14" t="n"/>
      <c r="D9" s="27" t="n"/>
      <c r="E9" s="15" t="n"/>
      <c r="F9" s="16" t="n"/>
      <c r="G9" s="16" t="n"/>
      <c r="H9" s="16">
        <f>IF(F9="","",MAX(0,F9-N(G9)*N(E9)))</f>
        <v/>
      </c>
      <c r="I9" s="17" t="n">
        <v>0.52</v>
      </c>
      <c r="J9" s="18">
        <f>IF(H9="","",H9*N(I9)/15)</f>
        <v/>
      </c>
      <c r="K9" s="19" t="n"/>
      <c r="L9" s="19">
        <f>IF(J9="","",J9*N(K9))</f>
        <v/>
      </c>
    </row>
    <row r="10">
      <c r="A10" s="20" t="n"/>
      <c r="B10" s="21" t="n"/>
      <c r="C10" s="21" t="n"/>
      <c r="D10" s="28" t="n"/>
      <c r="E10" s="22" t="n"/>
      <c r="F10" s="23" t="n"/>
      <c r="G10" s="23" t="n"/>
      <c r="H10" s="23">
        <f>IF(F10="","",MAX(0,F10-N(G10)*N(E10)))</f>
        <v/>
      </c>
      <c r="I10" s="24" t="n">
        <v>0.52</v>
      </c>
      <c r="J10" s="25">
        <f>IF(H10="","",H10*N(I10)/15)</f>
        <v/>
      </c>
      <c r="K10" s="26" t="n"/>
      <c r="L10" s="26">
        <f>IF(J10="","",J10*N(K10))</f>
        <v/>
      </c>
    </row>
    <row r="11">
      <c r="A11" s="13" t="n"/>
      <c r="B11" s="14" t="n"/>
      <c r="C11" s="14" t="n"/>
      <c r="D11" s="27" t="n"/>
      <c r="E11" s="15" t="n"/>
      <c r="F11" s="16" t="n"/>
      <c r="G11" s="16" t="n"/>
      <c r="H11" s="16">
        <f>IF(F11="","",MAX(0,F11-N(G11)*N(E11)))</f>
        <v/>
      </c>
      <c r="I11" s="17" t="n">
        <v>0.52</v>
      </c>
      <c r="J11" s="18">
        <f>IF(H11="","",H11*N(I11)/15)</f>
        <v/>
      </c>
      <c r="K11" s="19" t="n"/>
      <c r="L11" s="19">
        <f>IF(J11="","",J11*N(K11))</f>
        <v/>
      </c>
    </row>
    <row r="12">
      <c r="A12" s="20" t="n"/>
      <c r="B12" s="21" t="n"/>
      <c r="C12" s="21" t="n"/>
      <c r="D12" s="28" t="n"/>
      <c r="E12" s="22" t="n"/>
      <c r="F12" s="23" t="n"/>
      <c r="G12" s="23" t="n"/>
      <c r="H12" s="23">
        <f>IF(F12="","",MAX(0,F12-N(G12)*N(E12)))</f>
        <v/>
      </c>
      <c r="I12" s="24" t="n">
        <v>0.52</v>
      </c>
      <c r="J12" s="25">
        <f>IF(H12="","",H12*N(I12)/15)</f>
        <v/>
      </c>
      <c r="K12" s="26" t="n"/>
      <c r="L12" s="26">
        <f>IF(J12="","",J12*N(K12))</f>
        <v/>
      </c>
    </row>
    <row r="13">
      <c r="A13" s="13" t="n"/>
      <c r="B13" s="14" t="n"/>
      <c r="C13" s="14" t="n"/>
      <c r="D13" s="27" t="n"/>
      <c r="E13" s="15" t="n"/>
      <c r="F13" s="16" t="n"/>
      <c r="G13" s="16" t="n"/>
      <c r="H13" s="16">
        <f>IF(F13="","",MAX(0,F13-N(G13)*N(E13)))</f>
        <v/>
      </c>
      <c r="I13" s="17" t="n">
        <v>0.52</v>
      </c>
      <c r="J13" s="18">
        <f>IF(H13="","",H13*N(I13)/15)</f>
        <v/>
      </c>
      <c r="K13" s="19" t="n"/>
      <c r="L13" s="19">
        <f>IF(J13="","",J13*N(K13))</f>
        <v/>
      </c>
    </row>
    <row r="14">
      <c r="A14" s="20" t="n"/>
      <c r="B14" s="21" t="n"/>
      <c r="C14" s="21" t="n"/>
      <c r="D14" s="28" t="n"/>
      <c r="E14" s="22" t="n"/>
      <c r="F14" s="23" t="n"/>
      <c r="G14" s="23" t="n"/>
      <c r="H14" s="23">
        <f>IF(F14="","",MAX(0,F14-N(G14)*N(E14)))</f>
        <v/>
      </c>
      <c r="I14" s="24" t="n">
        <v>0.52</v>
      </c>
      <c r="J14" s="25">
        <f>IF(H14="","",H14*N(I14)/15)</f>
        <v/>
      </c>
      <c r="K14" s="26" t="n"/>
      <c r="L14" s="26">
        <f>IF(J14="","",J14*N(K14))</f>
        <v/>
      </c>
    </row>
    <row r="15">
      <c r="A15" s="13" t="n"/>
      <c r="B15" s="14" t="n"/>
      <c r="C15" s="14" t="n"/>
      <c r="D15" s="27" t="n"/>
      <c r="E15" s="15" t="n"/>
      <c r="F15" s="16" t="n"/>
      <c r="G15" s="16" t="n"/>
      <c r="H15" s="16">
        <f>IF(F15="","",MAX(0,F15-N(G15)*N(E15)))</f>
        <v/>
      </c>
      <c r="I15" s="17" t="n">
        <v>0.52</v>
      </c>
      <c r="J15" s="18">
        <f>IF(H15="","",H15*N(I15)/15)</f>
        <v/>
      </c>
      <c r="K15" s="19" t="n"/>
      <c r="L15" s="19">
        <f>IF(J15="","",J15*N(K15))</f>
        <v/>
      </c>
    </row>
    <row r="16">
      <c r="A16" s="20" t="n"/>
      <c r="B16" s="21" t="n"/>
      <c r="C16" s="21" t="n"/>
      <c r="D16" s="28" t="n"/>
      <c r="E16" s="22" t="n"/>
      <c r="F16" s="23" t="n"/>
      <c r="G16" s="23" t="n"/>
      <c r="H16" s="23">
        <f>IF(F16="","",MAX(0,F16-N(G16)*N(E16)))</f>
        <v/>
      </c>
      <c r="I16" s="24" t="n">
        <v>0.52</v>
      </c>
      <c r="J16" s="25">
        <f>IF(H16="","",H16*N(I16)/15)</f>
        <v/>
      </c>
      <c r="K16" s="26" t="n"/>
      <c r="L16" s="26">
        <f>IF(J16="","",J16*N(K16))</f>
        <v/>
      </c>
    </row>
    <row r="17">
      <c r="A17" s="13" t="n"/>
      <c r="B17" s="14" t="n"/>
      <c r="C17" s="14" t="n"/>
      <c r="D17" s="27" t="n"/>
      <c r="E17" s="15" t="n"/>
      <c r="F17" s="16" t="n"/>
      <c r="G17" s="16" t="n"/>
      <c r="H17" s="16">
        <f>IF(F17="","",MAX(0,F17-N(G17)*N(E17)))</f>
        <v/>
      </c>
      <c r="I17" s="17" t="n">
        <v>0.52</v>
      </c>
      <c r="J17" s="18">
        <f>IF(H17="","",H17*N(I17)/15)</f>
        <v/>
      </c>
      <c r="K17" s="19" t="n"/>
      <c r="L17" s="19">
        <f>IF(J17="","",J17*N(K17))</f>
        <v/>
      </c>
    </row>
    <row r="18">
      <c r="A18" s="20" t="n"/>
      <c r="B18" s="21" t="n"/>
      <c r="C18" s="21" t="n"/>
      <c r="D18" s="28" t="n"/>
      <c r="E18" s="22" t="n"/>
      <c r="F18" s="23" t="n"/>
      <c r="G18" s="23" t="n"/>
      <c r="H18" s="23">
        <f>IF(F18="","",MAX(0,F18-N(G18)*N(E18)))</f>
        <v/>
      </c>
      <c r="I18" s="24" t="n">
        <v>0.52</v>
      </c>
      <c r="J18" s="25">
        <f>IF(H18="","",H18*N(I18)/15)</f>
        <v/>
      </c>
      <c r="K18" s="26" t="n"/>
      <c r="L18" s="26">
        <f>IF(J18="","",J18*N(K18))</f>
        <v/>
      </c>
    </row>
    <row r="19">
      <c r="A19" s="13" t="n"/>
      <c r="B19" s="14" t="n"/>
      <c r="C19" s="14" t="n"/>
      <c r="D19" s="27" t="n"/>
      <c r="E19" s="15" t="n"/>
      <c r="F19" s="16" t="n"/>
      <c r="G19" s="16" t="n"/>
      <c r="H19" s="16">
        <f>IF(F19="","",MAX(0,F19-N(G19)*N(E19)))</f>
        <v/>
      </c>
      <c r="I19" s="17" t="n">
        <v>0.52</v>
      </c>
      <c r="J19" s="18">
        <f>IF(H19="","",H19*N(I19)/15)</f>
        <v/>
      </c>
      <c r="K19" s="19" t="n"/>
      <c r="L19" s="19">
        <f>IF(J19="","",J19*N(K19))</f>
        <v/>
      </c>
    </row>
    <row r="20">
      <c r="A20" s="20" t="n"/>
      <c r="B20" s="21" t="n"/>
      <c r="C20" s="21" t="n"/>
      <c r="D20" s="28" t="n"/>
      <c r="E20" s="22" t="n"/>
      <c r="F20" s="23" t="n"/>
      <c r="G20" s="23" t="n"/>
      <c r="H20" s="23">
        <f>IF(F20="","",MAX(0,F20-N(G20)*N(E20)))</f>
        <v/>
      </c>
      <c r="I20" s="24" t="n">
        <v>0.52</v>
      </c>
      <c r="J20" s="25">
        <f>IF(H20="","",H20*N(I20)/15)</f>
        <v/>
      </c>
      <c r="K20" s="26" t="n"/>
      <c r="L20" s="26">
        <f>IF(J20="","",J20*N(K20))</f>
        <v/>
      </c>
    </row>
    <row r="21">
      <c r="A21" s="13" t="n"/>
      <c r="B21" s="14" t="n"/>
      <c r="C21" s="14" t="n"/>
      <c r="D21" s="27" t="n"/>
      <c r="E21" s="15" t="n"/>
      <c r="F21" s="16" t="n"/>
      <c r="G21" s="16" t="n"/>
      <c r="H21" s="16">
        <f>IF(F21="","",MAX(0,F21-N(G21)*N(E21)))</f>
        <v/>
      </c>
      <c r="I21" s="17" t="n">
        <v>0.52</v>
      </c>
      <c r="J21" s="18">
        <f>IF(H21="","",H21*N(I21)/15)</f>
        <v/>
      </c>
      <c r="K21" s="19" t="n"/>
      <c r="L21" s="19">
        <f>IF(J21="","",J21*N(K21))</f>
        <v/>
      </c>
    </row>
    <row r="22">
      <c r="A22" s="20" t="n"/>
      <c r="B22" s="21" t="n"/>
      <c r="C22" s="21" t="n"/>
      <c r="D22" s="28" t="n"/>
      <c r="E22" s="22" t="n"/>
      <c r="F22" s="23" t="n"/>
      <c r="G22" s="23" t="n"/>
      <c r="H22" s="23">
        <f>IF(F22="","",MAX(0,F22-N(G22)*N(E22)))</f>
        <v/>
      </c>
      <c r="I22" s="24" t="n">
        <v>0.52</v>
      </c>
      <c r="J22" s="25">
        <f>IF(H22="","",H22*N(I22)/15)</f>
        <v/>
      </c>
      <c r="K22" s="26" t="n"/>
      <c r="L22" s="26">
        <f>IF(J22="","",J22*N(K22))</f>
        <v/>
      </c>
    </row>
    <row r="23">
      <c r="A23" s="13" t="n"/>
      <c r="B23" s="14" t="n"/>
      <c r="C23" s="14" t="n"/>
      <c r="D23" s="27" t="n"/>
      <c r="E23" s="15" t="n"/>
      <c r="F23" s="16" t="n"/>
      <c r="G23" s="16" t="n"/>
      <c r="H23" s="16">
        <f>IF(F23="","",MAX(0,F23-N(G23)*N(E23)))</f>
        <v/>
      </c>
      <c r="I23" s="17" t="n">
        <v>0.52</v>
      </c>
      <c r="J23" s="18">
        <f>IF(H23="","",H23*N(I23)/15)</f>
        <v/>
      </c>
      <c r="K23" s="19" t="n"/>
      <c r="L23" s="19">
        <f>IF(J23="","",J23*N(K23))</f>
        <v/>
      </c>
    </row>
    <row r="24">
      <c r="A24" s="20" t="n"/>
      <c r="B24" s="21" t="n"/>
      <c r="C24" s="21" t="n"/>
      <c r="D24" s="28" t="n"/>
      <c r="E24" s="22" t="n"/>
      <c r="F24" s="23" t="n"/>
      <c r="G24" s="23" t="n"/>
      <c r="H24" s="23">
        <f>IF(F24="","",MAX(0,F24-N(G24)*N(E24)))</f>
        <v/>
      </c>
      <c r="I24" s="24" t="n">
        <v>0.52</v>
      </c>
      <c r="J24" s="25">
        <f>IF(H24="","",H24*N(I24)/15)</f>
        <v/>
      </c>
      <c r="K24" s="26" t="n"/>
      <c r="L24" s="26">
        <f>IF(J24="","",J24*N(K24))</f>
        <v/>
      </c>
    </row>
    <row r="25">
      <c r="A25" s="13" t="n"/>
      <c r="B25" s="14" t="n"/>
      <c r="C25" s="14" t="n"/>
      <c r="D25" s="27" t="n"/>
      <c r="E25" s="15" t="n"/>
      <c r="F25" s="16" t="n"/>
      <c r="G25" s="16" t="n"/>
      <c r="H25" s="16">
        <f>IF(F25="","",MAX(0,F25-N(G25)*N(E25)))</f>
        <v/>
      </c>
      <c r="I25" s="17" t="n">
        <v>0.52</v>
      </c>
      <c r="J25" s="18">
        <f>IF(H25="","",H25*N(I25)/15)</f>
        <v/>
      </c>
      <c r="K25" s="19" t="n"/>
      <c r="L25" s="19">
        <f>IF(J25="","",J25*N(K25))</f>
        <v/>
      </c>
    </row>
    <row r="26">
      <c r="A26" s="20" t="n"/>
      <c r="B26" s="21" t="n"/>
      <c r="C26" s="21" t="n"/>
      <c r="D26" s="28" t="n"/>
      <c r="E26" s="22" t="n"/>
      <c r="F26" s="23" t="n"/>
      <c r="G26" s="23" t="n"/>
      <c r="H26" s="23">
        <f>IF(F26="","",MAX(0,F26-N(G26)*N(E26)))</f>
        <v/>
      </c>
      <c r="I26" s="24" t="n">
        <v>0.52</v>
      </c>
      <c r="J26" s="25">
        <f>IF(H26="","",H26*N(I26)/15)</f>
        <v/>
      </c>
      <c r="K26" s="26" t="n"/>
      <c r="L26" s="26">
        <f>IF(J26="","",J26*N(K26))</f>
        <v/>
      </c>
    </row>
    <row r="27">
      <c r="A27" s="13" t="n"/>
      <c r="B27" s="14" t="n"/>
      <c r="C27" s="14" t="n"/>
      <c r="D27" s="27" t="n"/>
      <c r="E27" s="15" t="n"/>
      <c r="F27" s="16" t="n"/>
      <c r="G27" s="16" t="n"/>
      <c r="H27" s="16">
        <f>IF(F27="","",MAX(0,F27-N(G27)*N(E27)))</f>
        <v/>
      </c>
      <c r="I27" s="17" t="n">
        <v>0.52</v>
      </c>
      <c r="J27" s="18">
        <f>IF(H27="","",H27*N(I27)/15)</f>
        <v/>
      </c>
      <c r="K27" s="19" t="n"/>
      <c r="L27" s="19">
        <f>IF(J27="","",J27*N(K27))</f>
        <v/>
      </c>
    </row>
    <row r="28">
      <c r="A28" s="20" t="n"/>
      <c r="B28" s="21" t="n"/>
      <c r="C28" s="21" t="n"/>
      <c r="D28" s="28" t="n"/>
      <c r="E28" s="22" t="n"/>
      <c r="F28" s="23" t="n"/>
      <c r="G28" s="23" t="n"/>
      <c r="H28" s="23">
        <f>IF(F28="","",MAX(0,F28-N(G28)*N(E28)))</f>
        <v/>
      </c>
      <c r="I28" s="24" t="n">
        <v>0.52</v>
      </c>
      <c r="J28" s="25">
        <f>IF(H28="","",H28*N(I28)/15)</f>
        <v/>
      </c>
      <c r="K28" s="26" t="n"/>
      <c r="L28" s="26">
        <f>IF(J28="","",J28*N(K28))</f>
        <v/>
      </c>
    </row>
    <row r="29">
      <c r="A29" s="13" t="n"/>
      <c r="B29" s="14" t="n"/>
      <c r="C29" s="14" t="n"/>
      <c r="D29" s="27" t="n"/>
      <c r="E29" s="15" t="n"/>
      <c r="F29" s="16" t="n"/>
      <c r="G29" s="16" t="n"/>
      <c r="H29" s="16">
        <f>IF(F29="","",MAX(0,F29-N(G29)*N(E29)))</f>
        <v/>
      </c>
      <c r="I29" s="17" t="n">
        <v>0.52</v>
      </c>
      <c r="J29" s="18">
        <f>IF(H29="","",H29*N(I29)/15)</f>
        <v/>
      </c>
      <c r="K29" s="19" t="n"/>
      <c r="L29" s="19">
        <f>IF(J29="","",J29*N(K29))</f>
        <v/>
      </c>
    </row>
    <row r="30">
      <c r="A30" s="20" t="n"/>
      <c r="B30" s="21" t="n"/>
      <c r="C30" s="21" t="n"/>
      <c r="D30" s="28" t="n"/>
      <c r="E30" s="22" t="n"/>
      <c r="F30" s="23" t="n"/>
      <c r="G30" s="23" t="n"/>
      <c r="H30" s="23">
        <f>IF(F30="","",MAX(0,F30-N(G30)*N(E30)))</f>
        <v/>
      </c>
      <c r="I30" s="24" t="n">
        <v>0.52</v>
      </c>
      <c r="J30" s="25">
        <f>IF(H30="","",H30*N(I30)/15)</f>
        <v/>
      </c>
      <c r="K30" s="26" t="n"/>
      <c r="L30" s="26">
        <f>IF(J30="","",J30*N(K30))</f>
        <v/>
      </c>
    </row>
    <row r="31">
      <c r="A31" s="13" t="n"/>
      <c r="B31" s="14" t="n"/>
      <c r="C31" s="14" t="n"/>
      <c r="D31" s="27" t="n"/>
      <c r="E31" s="15" t="n"/>
      <c r="F31" s="16" t="n"/>
      <c r="G31" s="16" t="n"/>
      <c r="H31" s="16">
        <f>IF(F31="","",MAX(0,F31-N(G31)*N(E31)))</f>
        <v/>
      </c>
      <c r="I31" s="17" t="n">
        <v>0.52</v>
      </c>
      <c r="J31" s="18">
        <f>IF(H31="","",H31*N(I31)/15)</f>
        <v/>
      </c>
      <c r="K31" s="19" t="n"/>
      <c r="L31" s="19">
        <f>IF(J31="","",J31*N(K31))</f>
        <v/>
      </c>
    </row>
    <row r="32">
      <c r="A32" s="20" t="n"/>
      <c r="B32" s="21" t="n"/>
      <c r="C32" s="21" t="n"/>
      <c r="D32" s="28" t="n"/>
      <c r="E32" s="22" t="n"/>
      <c r="F32" s="23" t="n"/>
      <c r="G32" s="23" t="n"/>
      <c r="H32" s="23">
        <f>IF(F32="","",MAX(0,F32-N(G32)*N(E32)))</f>
        <v/>
      </c>
      <c r="I32" s="24" t="n">
        <v>0.52</v>
      </c>
      <c r="J32" s="25">
        <f>IF(H32="","",H32*N(I32)/15)</f>
        <v/>
      </c>
      <c r="K32" s="26" t="n"/>
      <c r="L32" s="26">
        <f>IF(J32="","",J32*N(K32))</f>
        <v/>
      </c>
    </row>
    <row r="33">
      <c r="A33" s="13" t="n"/>
      <c r="B33" s="14" t="n"/>
      <c r="C33" s="14" t="n"/>
      <c r="D33" s="27" t="n"/>
      <c r="E33" s="15" t="n"/>
      <c r="F33" s="16" t="n"/>
      <c r="G33" s="16" t="n"/>
      <c r="H33" s="16">
        <f>IF(F33="","",MAX(0,F33-N(G33)*N(E33)))</f>
        <v/>
      </c>
      <c r="I33" s="17" t="n">
        <v>0.52</v>
      </c>
      <c r="J33" s="18">
        <f>IF(H33="","",H33*N(I33)/15)</f>
        <v/>
      </c>
      <c r="K33" s="19" t="n"/>
      <c r="L33" s="19">
        <f>IF(J33="","",J33*N(K33))</f>
        <v/>
      </c>
    </row>
    <row r="34">
      <c r="A34" s="20" t="n"/>
      <c r="B34" s="21" t="n"/>
      <c r="C34" s="21" t="n"/>
      <c r="D34" s="28" t="n"/>
      <c r="E34" s="22" t="n"/>
      <c r="F34" s="23" t="n"/>
      <c r="G34" s="23" t="n"/>
      <c r="H34" s="23">
        <f>IF(F34="","",MAX(0,F34-N(G34)*N(E34)))</f>
        <v/>
      </c>
      <c r="I34" s="24" t="n">
        <v>0.52</v>
      </c>
      <c r="J34" s="25">
        <f>IF(H34="","",H34*N(I34)/15)</f>
        <v/>
      </c>
      <c r="K34" s="26" t="n"/>
      <c r="L34" s="26">
        <f>IF(J34="","",J34*N(K34))</f>
        <v/>
      </c>
    </row>
    <row r="35">
      <c r="A35" s="13" t="n"/>
      <c r="B35" s="14" t="n"/>
      <c r="C35" s="14" t="n"/>
      <c r="D35" s="27" t="n"/>
      <c r="E35" s="15" t="n"/>
      <c r="F35" s="16" t="n"/>
      <c r="G35" s="16" t="n"/>
      <c r="H35" s="16">
        <f>IF(F35="","",MAX(0,F35-N(G35)*N(E35)))</f>
        <v/>
      </c>
      <c r="I35" s="17" t="n">
        <v>0.52</v>
      </c>
      <c r="J35" s="18">
        <f>IF(H35="","",H35*N(I35)/15)</f>
        <v/>
      </c>
      <c r="K35" s="19" t="n"/>
      <c r="L35" s="19">
        <f>IF(J35="","",J35*N(K35))</f>
        <v/>
      </c>
    </row>
    <row r="36">
      <c r="A36" s="20" t="n"/>
      <c r="B36" s="21" t="n"/>
      <c r="C36" s="21" t="n"/>
      <c r="D36" s="28" t="n"/>
      <c r="E36" s="22" t="n"/>
      <c r="F36" s="23" t="n"/>
      <c r="G36" s="23" t="n"/>
      <c r="H36" s="23">
        <f>IF(F36="","",MAX(0,F36-N(G36)*N(E36)))</f>
        <v/>
      </c>
      <c r="I36" s="24" t="n">
        <v>0.52</v>
      </c>
      <c r="J36" s="25">
        <f>IF(H36="","",H36*N(I36)/15)</f>
        <v/>
      </c>
      <c r="K36" s="26" t="n"/>
      <c r="L36" s="26">
        <f>IF(J36="","",J36*N(K36))</f>
        <v/>
      </c>
    </row>
    <row r="37">
      <c r="A37" s="13" t="n"/>
      <c r="B37" s="14" t="n"/>
      <c r="C37" s="14" t="n"/>
      <c r="D37" s="27" t="n"/>
      <c r="E37" s="15" t="n"/>
      <c r="F37" s="16" t="n"/>
      <c r="G37" s="16" t="n"/>
      <c r="H37" s="16">
        <f>IF(F37="","",MAX(0,F37-N(G37)*N(E37)))</f>
        <v/>
      </c>
      <c r="I37" s="17" t="n">
        <v>0.52</v>
      </c>
      <c r="J37" s="18">
        <f>IF(H37="","",H37*N(I37)/15)</f>
        <v/>
      </c>
      <c r="K37" s="19" t="n"/>
      <c r="L37" s="19">
        <f>IF(J37="","",J37*N(K37))</f>
        <v/>
      </c>
    </row>
    <row r="38">
      <c r="A38" s="20" t="n"/>
      <c r="B38" s="21" t="n"/>
      <c r="C38" s="21" t="n"/>
      <c r="D38" s="28" t="n"/>
      <c r="E38" s="22" t="n"/>
      <c r="F38" s="23" t="n"/>
      <c r="G38" s="23" t="n"/>
      <c r="H38" s="23">
        <f>IF(F38="","",MAX(0,F38-N(G38)*N(E38)))</f>
        <v/>
      </c>
      <c r="I38" s="24" t="n">
        <v>0.52</v>
      </c>
      <c r="J38" s="25">
        <f>IF(H38="","",H38*N(I38)/15)</f>
        <v/>
      </c>
      <c r="K38" s="26" t="n"/>
      <c r="L38" s="26">
        <f>IF(J38="","",J38*N(K38))</f>
        <v/>
      </c>
    </row>
    <row r="39">
      <c r="A39" s="13" t="n"/>
      <c r="B39" s="14" t="n"/>
      <c r="C39" s="14" t="n"/>
      <c r="D39" s="27" t="n"/>
      <c r="E39" s="15" t="n"/>
      <c r="F39" s="16" t="n"/>
      <c r="G39" s="16" t="n"/>
      <c r="H39" s="16">
        <f>IF(F39="","",MAX(0,F39-N(G39)*N(E39)))</f>
        <v/>
      </c>
      <c r="I39" s="17" t="n">
        <v>0.52</v>
      </c>
      <c r="J39" s="18">
        <f>IF(H39="","",H39*N(I39)/15)</f>
        <v/>
      </c>
      <c r="K39" s="19" t="n"/>
      <c r="L39" s="19">
        <f>IF(J39="","",J39*N(K39))</f>
        <v/>
      </c>
    </row>
    <row r="40">
      <c r="A40" s="20" t="n"/>
      <c r="B40" s="21" t="n"/>
      <c r="C40" s="21" t="n"/>
      <c r="D40" s="28" t="n"/>
      <c r="E40" s="22" t="n"/>
      <c r="F40" s="23" t="n"/>
      <c r="G40" s="23" t="n"/>
      <c r="H40" s="23">
        <f>IF(F40="","",MAX(0,F40-N(G40)*N(E40)))</f>
        <v/>
      </c>
      <c r="I40" s="24" t="n">
        <v>0.52</v>
      </c>
      <c r="J40" s="25">
        <f>IF(H40="","",H40*N(I40)/15)</f>
        <v/>
      </c>
      <c r="K40" s="26" t="n"/>
      <c r="L40" s="26">
        <f>IF(J40="","",J40*N(K40))</f>
        <v/>
      </c>
    </row>
    <row r="41">
      <c r="A41" s="13" t="n"/>
      <c r="B41" s="14" t="n"/>
      <c r="C41" s="14" t="n"/>
      <c r="D41" s="27" t="n"/>
      <c r="E41" s="15" t="n"/>
      <c r="F41" s="16" t="n"/>
      <c r="G41" s="16" t="n"/>
      <c r="H41" s="16">
        <f>IF(F41="","",MAX(0,F41-N(G41)*N(E41)))</f>
        <v/>
      </c>
      <c r="I41" s="17" t="n">
        <v>0.52</v>
      </c>
      <c r="J41" s="18">
        <f>IF(H41="","",H41*N(I41)/15)</f>
        <v/>
      </c>
      <c r="K41" s="19" t="n"/>
      <c r="L41" s="19">
        <f>IF(J41="","",J41*N(K41))</f>
        <v/>
      </c>
    </row>
    <row r="42">
      <c r="A42" s="20" t="n"/>
      <c r="B42" s="21" t="n"/>
      <c r="C42" s="21" t="n"/>
      <c r="D42" s="28" t="n"/>
      <c r="E42" s="22" t="n"/>
      <c r="F42" s="23" t="n"/>
      <c r="G42" s="23" t="n"/>
      <c r="H42" s="23">
        <f>IF(F42="","",MAX(0,F42-N(G42)*N(E42)))</f>
        <v/>
      </c>
      <c r="I42" s="24" t="n">
        <v>0.52</v>
      </c>
      <c r="J42" s="25">
        <f>IF(H42="","",H42*N(I42)/15)</f>
        <v/>
      </c>
      <c r="K42" s="26" t="n"/>
      <c r="L42" s="26">
        <f>IF(J42="","",J42*N(K42))</f>
        <v/>
      </c>
    </row>
    <row r="43">
      <c r="A43" s="13" t="n"/>
      <c r="B43" s="14" t="n"/>
      <c r="C43" s="14" t="n"/>
      <c r="D43" s="27" t="n"/>
      <c r="E43" s="15" t="n"/>
      <c r="F43" s="16" t="n"/>
      <c r="G43" s="16" t="n"/>
      <c r="H43" s="16">
        <f>IF(F43="","",MAX(0,F43-N(G43)*N(E43)))</f>
        <v/>
      </c>
      <c r="I43" s="17" t="n">
        <v>0.52</v>
      </c>
      <c r="J43" s="18">
        <f>IF(H43="","",H43*N(I43)/15)</f>
        <v/>
      </c>
      <c r="K43" s="19" t="n"/>
      <c r="L43" s="19">
        <f>IF(J43="","",J43*N(K43))</f>
        <v/>
      </c>
    </row>
    <row r="44">
      <c r="A44" s="20" t="n"/>
      <c r="B44" s="21" t="n"/>
      <c r="C44" s="21" t="n"/>
      <c r="D44" s="28" t="n"/>
      <c r="E44" s="22" t="n"/>
      <c r="F44" s="23" t="n"/>
      <c r="G44" s="23" t="n"/>
      <c r="H44" s="23">
        <f>IF(F44="","",MAX(0,F44-N(G44)*N(E44)))</f>
        <v/>
      </c>
      <c r="I44" s="24" t="n">
        <v>0.52</v>
      </c>
      <c r="J44" s="25">
        <f>IF(H44="","",H44*N(I44)/15)</f>
        <v/>
      </c>
      <c r="K44" s="26" t="n"/>
      <c r="L44" s="26">
        <f>IF(J44="","",J44*N(K44))</f>
        <v/>
      </c>
    </row>
    <row r="45">
      <c r="A45" s="13" t="n"/>
      <c r="B45" s="14" t="n"/>
      <c r="C45" s="14" t="n"/>
      <c r="D45" s="27" t="n"/>
      <c r="E45" s="15" t="n"/>
      <c r="F45" s="16" t="n"/>
      <c r="G45" s="16" t="n"/>
      <c r="H45" s="16">
        <f>IF(F45="","",MAX(0,F45-N(G45)*N(E45)))</f>
        <v/>
      </c>
      <c r="I45" s="17" t="n">
        <v>0.52</v>
      </c>
      <c r="J45" s="18">
        <f>IF(H45="","",H45*N(I45)/15)</f>
        <v/>
      </c>
      <c r="K45" s="19" t="n"/>
      <c r="L45" s="19">
        <f>IF(J45="","",J45*N(K45))</f>
        <v/>
      </c>
    </row>
    <row r="46">
      <c r="A46" s="20" t="n"/>
      <c r="B46" s="21" t="n"/>
      <c r="C46" s="21" t="n"/>
      <c r="D46" s="28" t="n"/>
      <c r="E46" s="22" t="n"/>
      <c r="F46" s="23" t="n"/>
      <c r="G46" s="23" t="n"/>
      <c r="H46" s="23">
        <f>IF(F46="","",MAX(0,F46-N(G46)*N(E46)))</f>
        <v/>
      </c>
      <c r="I46" s="24" t="n">
        <v>0.52</v>
      </c>
      <c r="J46" s="25">
        <f>IF(H46="","",H46*N(I46)/15)</f>
        <v/>
      </c>
      <c r="K46" s="26" t="n"/>
      <c r="L46" s="26">
        <f>IF(J46="","",J46*N(K46))</f>
        <v/>
      </c>
    </row>
    <row r="47">
      <c r="A47" s="13" t="n"/>
      <c r="B47" s="14" t="n"/>
      <c r="C47" s="14" t="n"/>
      <c r="D47" s="27" t="n"/>
      <c r="E47" s="15" t="n"/>
      <c r="F47" s="16" t="n"/>
      <c r="G47" s="16" t="n"/>
      <c r="H47" s="16">
        <f>IF(F47="","",MAX(0,F47-N(G47)*N(E47)))</f>
        <v/>
      </c>
      <c r="I47" s="17" t="n">
        <v>0.52</v>
      </c>
      <c r="J47" s="18">
        <f>IF(H47="","",H47*N(I47)/15)</f>
        <v/>
      </c>
      <c r="K47" s="19" t="n"/>
      <c r="L47" s="19">
        <f>IF(J47="","",J47*N(K47))</f>
        <v/>
      </c>
    </row>
    <row r="48">
      <c r="A48" s="20" t="n"/>
      <c r="B48" s="21" t="n"/>
      <c r="C48" s="21" t="n"/>
      <c r="D48" s="28" t="n"/>
      <c r="E48" s="22" t="n"/>
      <c r="F48" s="23" t="n"/>
      <c r="G48" s="23" t="n"/>
      <c r="H48" s="23">
        <f>IF(F48="","",MAX(0,F48-N(G48)*N(E48)))</f>
        <v/>
      </c>
      <c r="I48" s="24" t="n">
        <v>0.52</v>
      </c>
      <c r="J48" s="25">
        <f>IF(H48="","",H48*N(I48)/15)</f>
        <v/>
      </c>
      <c r="K48" s="26" t="n"/>
      <c r="L48" s="26">
        <f>IF(J48="","",J48*N(K48))</f>
        <v/>
      </c>
    </row>
    <row r="49">
      <c r="A49" s="13" t="n"/>
      <c r="B49" s="14" t="n"/>
      <c r="C49" s="14" t="n"/>
      <c r="D49" s="27" t="n"/>
      <c r="E49" s="15" t="n"/>
      <c r="F49" s="16" t="n"/>
      <c r="G49" s="16" t="n"/>
      <c r="H49" s="16">
        <f>IF(F49="","",MAX(0,F49-N(G49)*N(E49)))</f>
        <v/>
      </c>
      <c r="I49" s="17" t="n">
        <v>0.52</v>
      </c>
      <c r="J49" s="18">
        <f>IF(H49="","",H49*N(I49)/15)</f>
        <v/>
      </c>
      <c r="K49" s="19" t="n"/>
      <c r="L49" s="19">
        <f>IF(J49="","",J49*N(K49))</f>
        <v/>
      </c>
    </row>
    <row r="50">
      <c r="A50" s="20" t="n"/>
      <c r="B50" s="21" t="n"/>
      <c r="C50" s="21" t="n"/>
      <c r="D50" s="28" t="n"/>
      <c r="E50" s="22" t="n"/>
      <c r="F50" s="23" t="n"/>
      <c r="G50" s="23" t="n"/>
      <c r="H50" s="23">
        <f>IF(F50="","",MAX(0,F50-N(G50)*N(E50)))</f>
        <v/>
      </c>
      <c r="I50" s="24" t="n">
        <v>0.52</v>
      </c>
      <c r="J50" s="25">
        <f>IF(H50="","",H50*N(I50)/15)</f>
        <v/>
      </c>
      <c r="K50" s="26" t="n"/>
      <c r="L50" s="26">
        <f>IF(J50="","",J50*N(K50))</f>
        <v/>
      </c>
    </row>
    <row r="51">
      <c r="A51" s="13" t="n"/>
      <c r="B51" s="14" t="n"/>
      <c r="C51" s="14" t="n"/>
      <c r="D51" s="27" t="n"/>
      <c r="E51" s="15" t="n"/>
      <c r="F51" s="16" t="n"/>
      <c r="G51" s="16" t="n"/>
      <c r="H51" s="16">
        <f>IF(F51="","",MAX(0,F51-N(G51)*N(E51)))</f>
        <v/>
      </c>
      <c r="I51" s="17" t="n">
        <v>0.52</v>
      </c>
      <c r="J51" s="18">
        <f>IF(H51="","",H51*N(I51)/15)</f>
        <v/>
      </c>
      <c r="K51" s="19" t="n"/>
      <c r="L51" s="19">
        <f>IF(J51="","",J51*N(K51))</f>
        <v/>
      </c>
    </row>
    <row r="52">
      <c r="A52" s="20" t="n"/>
      <c r="B52" s="21" t="n"/>
      <c r="C52" s="21" t="n"/>
      <c r="D52" s="28" t="n"/>
      <c r="E52" s="22" t="n"/>
      <c r="F52" s="23" t="n"/>
      <c r="G52" s="23" t="n"/>
      <c r="H52" s="23">
        <f>IF(F52="","",MAX(0,F52-N(G52)*N(E52)))</f>
        <v/>
      </c>
      <c r="I52" s="24" t="n">
        <v>0.52</v>
      </c>
      <c r="J52" s="25">
        <f>IF(H52="","",H52*N(I52)/15)</f>
        <v/>
      </c>
      <c r="K52" s="26" t="n"/>
      <c r="L52" s="26">
        <f>IF(J52="","",J52*N(K52))</f>
        <v/>
      </c>
    </row>
    <row r="53">
      <c r="A53" s="13" t="n"/>
      <c r="B53" s="14" t="n"/>
      <c r="C53" s="14" t="n"/>
      <c r="D53" s="27" t="n"/>
      <c r="E53" s="15" t="n"/>
      <c r="F53" s="16" t="n"/>
      <c r="G53" s="16" t="n"/>
      <c r="H53" s="16">
        <f>IF(F53="","",MAX(0,F53-N(G53)*N(E53)))</f>
        <v/>
      </c>
      <c r="I53" s="17" t="n">
        <v>0.52</v>
      </c>
      <c r="J53" s="18">
        <f>IF(H53="","",H53*N(I53)/15)</f>
        <v/>
      </c>
      <c r="K53" s="19" t="n"/>
      <c r="L53" s="19">
        <f>IF(J53="","",J53*N(K53))</f>
        <v/>
      </c>
    </row>
    <row r="54">
      <c r="A54" s="20" t="n"/>
      <c r="B54" s="21" t="n"/>
      <c r="C54" s="21" t="n"/>
      <c r="D54" s="28" t="n"/>
      <c r="E54" s="22" t="n"/>
      <c r="F54" s="23" t="n"/>
      <c r="G54" s="23" t="n"/>
      <c r="H54" s="23">
        <f>IF(F54="","",MAX(0,F54-N(G54)*N(E54)))</f>
        <v/>
      </c>
      <c r="I54" s="24" t="n">
        <v>0.52</v>
      </c>
      <c r="J54" s="25">
        <f>IF(H54="","",H54*N(I54)/15)</f>
        <v/>
      </c>
      <c r="K54" s="26" t="n"/>
      <c r="L54" s="26">
        <f>IF(J54="","",J54*N(K54))</f>
        <v/>
      </c>
    </row>
    <row r="55">
      <c r="A55" s="13" t="n"/>
      <c r="B55" s="14" t="n"/>
      <c r="C55" s="14" t="n"/>
      <c r="D55" s="27" t="n"/>
      <c r="E55" s="15" t="n"/>
      <c r="F55" s="16" t="n"/>
      <c r="G55" s="16" t="n"/>
      <c r="H55" s="16">
        <f>IF(F55="","",MAX(0,F55-N(G55)*N(E55)))</f>
        <v/>
      </c>
      <c r="I55" s="17" t="n">
        <v>0.52</v>
      </c>
      <c r="J55" s="18">
        <f>IF(H55="","",H55*N(I55)/15)</f>
        <v/>
      </c>
      <c r="K55" s="19" t="n"/>
      <c r="L55" s="19">
        <f>IF(J55="","",J55*N(K55))</f>
        <v/>
      </c>
    </row>
    <row r="56">
      <c r="A56" s="20" t="n"/>
      <c r="B56" s="21" t="n"/>
      <c r="C56" s="21" t="n"/>
      <c r="D56" s="28" t="n"/>
      <c r="E56" s="22" t="n"/>
      <c r="F56" s="23" t="n"/>
      <c r="G56" s="23" t="n"/>
      <c r="H56" s="23">
        <f>IF(F56="","",MAX(0,F56-N(G56)*N(E56)))</f>
        <v/>
      </c>
      <c r="I56" s="24" t="n">
        <v>0.52</v>
      </c>
      <c r="J56" s="25">
        <f>IF(H56="","",H56*N(I56)/15)</f>
        <v/>
      </c>
      <c r="K56" s="26" t="n"/>
      <c r="L56" s="26">
        <f>IF(J56="","",J56*N(K56))</f>
        <v/>
      </c>
    </row>
    <row r="57">
      <c r="A57" s="13" t="n"/>
      <c r="B57" s="14" t="n"/>
      <c r="C57" s="14" t="n"/>
      <c r="D57" s="27" t="n"/>
      <c r="E57" s="15" t="n"/>
      <c r="F57" s="16" t="n"/>
      <c r="G57" s="16" t="n"/>
      <c r="H57" s="16">
        <f>IF(F57="","",MAX(0,F57-N(G57)*N(E57)))</f>
        <v/>
      </c>
      <c r="I57" s="17" t="n">
        <v>0.52</v>
      </c>
      <c r="J57" s="18">
        <f>IF(H57="","",H57*N(I57)/15)</f>
        <v/>
      </c>
      <c r="K57" s="19" t="n"/>
      <c r="L57" s="19">
        <f>IF(J57="","",J57*N(K57))</f>
        <v/>
      </c>
    </row>
    <row r="58">
      <c r="A58" s="20" t="n"/>
      <c r="B58" s="21" t="n"/>
      <c r="C58" s="21" t="n"/>
      <c r="D58" s="28" t="n"/>
      <c r="E58" s="22" t="n"/>
      <c r="F58" s="23" t="n"/>
      <c r="G58" s="23" t="n"/>
      <c r="H58" s="23">
        <f>IF(F58="","",MAX(0,F58-N(G58)*N(E58)))</f>
        <v/>
      </c>
      <c r="I58" s="24" t="n">
        <v>0.52</v>
      </c>
      <c r="J58" s="25">
        <f>IF(H58="","",H58*N(I58)/15)</f>
        <v/>
      </c>
      <c r="K58" s="26" t="n"/>
      <c r="L58" s="26">
        <f>IF(J58="","",J58*N(K58))</f>
        <v/>
      </c>
    </row>
    <row r="59">
      <c r="A59" s="13" t="n"/>
      <c r="B59" s="14" t="n"/>
      <c r="C59" s="14" t="n"/>
      <c r="D59" s="27" t="n"/>
      <c r="E59" s="15" t="n"/>
      <c r="F59" s="16" t="n"/>
      <c r="G59" s="16" t="n"/>
      <c r="H59" s="16">
        <f>IF(F59="","",MAX(0,F59-N(G59)*N(E59)))</f>
        <v/>
      </c>
      <c r="I59" s="17" t="n">
        <v>0.52</v>
      </c>
      <c r="J59" s="18">
        <f>IF(H59="","",H59*N(I59)/15)</f>
        <v/>
      </c>
      <c r="K59" s="19" t="n"/>
      <c r="L59" s="19">
        <f>IF(J59="","",J59*N(K59))</f>
        <v/>
      </c>
    </row>
    <row r="60">
      <c r="A60" s="20" t="n"/>
      <c r="B60" s="21" t="n"/>
      <c r="C60" s="21" t="n"/>
      <c r="D60" s="28" t="n"/>
      <c r="E60" s="22" t="n"/>
      <c r="F60" s="23" t="n"/>
      <c r="G60" s="23" t="n"/>
      <c r="H60" s="23">
        <f>IF(F60="","",MAX(0,F60-N(G60)*N(E60)))</f>
        <v/>
      </c>
      <c r="I60" s="24" t="n">
        <v>0.52</v>
      </c>
      <c r="J60" s="25">
        <f>IF(H60="","",H60*N(I60)/15)</f>
        <v/>
      </c>
      <c r="K60" s="26" t="n"/>
      <c r="L60" s="26">
        <f>IF(J60="","",J60*N(K60))</f>
        <v/>
      </c>
    </row>
    <row r="61">
      <c r="A61" s="13" t="n"/>
      <c r="B61" s="14" t="n"/>
      <c r="C61" s="14" t="n"/>
      <c r="D61" s="27" t="n"/>
      <c r="E61" s="15" t="n"/>
      <c r="F61" s="16" t="n"/>
      <c r="G61" s="16" t="n"/>
      <c r="H61" s="16">
        <f>IF(F61="","",MAX(0,F61-N(G61)*N(E61)))</f>
        <v/>
      </c>
      <c r="I61" s="17" t="n">
        <v>0.52</v>
      </c>
      <c r="J61" s="18">
        <f>IF(H61="","",H61*N(I61)/15)</f>
        <v/>
      </c>
      <c r="K61" s="19" t="n"/>
      <c r="L61" s="19">
        <f>IF(J61="","",J61*N(K61))</f>
        <v/>
      </c>
    </row>
    <row r="62">
      <c r="A62" s="20" t="n"/>
      <c r="B62" s="21" t="n"/>
      <c r="C62" s="21" t="n"/>
      <c r="D62" s="28" t="n"/>
      <c r="E62" s="22" t="n"/>
      <c r="F62" s="23" t="n"/>
      <c r="G62" s="23" t="n"/>
      <c r="H62" s="23">
        <f>IF(F62="","",MAX(0,F62-N(G62)*N(E62)))</f>
        <v/>
      </c>
      <c r="I62" s="24" t="n">
        <v>0.52</v>
      </c>
      <c r="J62" s="25">
        <f>IF(H62="","",H62*N(I62)/15)</f>
        <v/>
      </c>
      <c r="K62" s="26" t="n"/>
      <c r="L62" s="26">
        <f>IF(J62="","",J62*N(K62))</f>
        <v/>
      </c>
    </row>
    <row r="63">
      <c r="A63" s="13" t="n"/>
      <c r="B63" s="14" t="n"/>
      <c r="C63" s="14" t="n"/>
      <c r="D63" s="27" t="n"/>
      <c r="E63" s="15" t="n"/>
      <c r="F63" s="16" t="n"/>
      <c r="G63" s="16" t="n"/>
      <c r="H63" s="16">
        <f>IF(F63="","",MAX(0,F63-N(G63)*N(E63)))</f>
        <v/>
      </c>
      <c r="I63" s="17" t="n">
        <v>0.52</v>
      </c>
      <c r="J63" s="18">
        <f>IF(H63="","",H63*N(I63)/15)</f>
        <v/>
      </c>
      <c r="K63" s="19" t="n"/>
      <c r="L63" s="19">
        <f>IF(J63="","",J63*N(K63))</f>
        <v/>
      </c>
    </row>
    <row r="64">
      <c r="A64" s="20" t="n"/>
      <c r="B64" s="21" t="n"/>
      <c r="C64" s="21" t="n"/>
      <c r="D64" s="28" t="n"/>
      <c r="E64" s="22" t="n"/>
      <c r="F64" s="23" t="n"/>
      <c r="G64" s="23" t="n"/>
      <c r="H64" s="23">
        <f>IF(F64="","",MAX(0,F64-N(G64)*N(E64)))</f>
        <v/>
      </c>
      <c r="I64" s="24" t="n">
        <v>0.52</v>
      </c>
      <c r="J64" s="25">
        <f>IF(H64="","",H64*N(I64)/15)</f>
        <v/>
      </c>
      <c r="K64" s="26" t="n"/>
      <c r="L64" s="26">
        <f>IF(J64="","",J64*N(K64))</f>
        <v/>
      </c>
    </row>
    <row r="65">
      <c r="A65" s="13" t="n"/>
      <c r="B65" s="14" t="n"/>
      <c r="C65" s="14" t="n"/>
      <c r="D65" s="27" t="n"/>
      <c r="E65" s="15" t="n"/>
      <c r="F65" s="16" t="n"/>
      <c r="G65" s="16" t="n"/>
      <c r="H65" s="16">
        <f>IF(F65="","",MAX(0,F65-N(G65)*N(E65)))</f>
        <v/>
      </c>
      <c r="I65" s="17" t="n">
        <v>0.52</v>
      </c>
      <c r="J65" s="18">
        <f>IF(H65="","",H65*N(I65)/15)</f>
        <v/>
      </c>
      <c r="K65" s="19" t="n"/>
      <c r="L65" s="19">
        <f>IF(J65="","",J65*N(K65))</f>
        <v/>
      </c>
    </row>
    <row r="66">
      <c r="A66" s="20" t="n"/>
      <c r="B66" s="21" t="n"/>
      <c r="C66" s="21" t="n"/>
      <c r="D66" s="28" t="n"/>
      <c r="E66" s="22" t="n"/>
      <c r="F66" s="23" t="n"/>
      <c r="G66" s="23" t="n"/>
      <c r="H66" s="23">
        <f>IF(F66="","",MAX(0,F66-N(G66)*N(E66)))</f>
        <v/>
      </c>
      <c r="I66" s="24" t="n">
        <v>0.52</v>
      </c>
      <c r="J66" s="25">
        <f>IF(H66="","",H66*N(I66)/15)</f>
        <v/>
      </c>
      <c r="K66" s="26" t="n"/>
      <c r="L66" s="26">
        <f>IF(J66="","",J66*N(K66))</f>
        <v/>
      </c>
    </row>
    <row r="67">
      <c r="A67" s="13" t="n"/>
      <c r="B67" s="14" t="n"/>
      <c r="C67" s="14" t="n"/>
      <c r="D67" s="27" t="n"/>
      <c r="E67" s="15" t="n"/>
      <c r="F67" s="16" t="n"/>
      <c r="G67" s="16" t="n"/>
      <c r="H67" s="16">
        <f>IF(F67="","",MAX(0,F67-N(G67)*N(E67)))</f>
        <v/>
      </c>
      <c r="I67" s="17" t="n">
        <v>0.52</v>
      </c>
      <c r="J67" s="18">
        <f>IF(H67="","",H67*N(I67)/15)</f>
        <v/>
      </c>
      <c r="K67" s="19" t="n"/>
      <c r="L67" s="19">
        <f>IF(J67="","",J67*N(K67))</f>
        <v/>
      </c>
    </row>
    <row r="68">
      <c r="A68" s="20" t="n"/>
      <c r="B68" s="21" t="n"/>
      <c r="C68" s="21" t="n"/>
      <c r="D68" s="28" t="n"/>
      <c r="E68" s="22" t="n"/>
      <c r="F68" s="23" t="n"/>
      <c r="G68" s="23" t="n"/>
      <c r="H68" s="23">
        <f>IF(F68="","",MAX(0,F68-N(G68)*N(E68)))</f>
        <v/>
      </c>
      <c r="I68" s="24" t="n">
        <v>0.52</v>
      </c>
      <c r="J68" s="25">
        <f>IF(H68="","",H68*N(I68)/15)</f>
        <v/>
      </c>
      <c r="K68" s="26" t="n"/>
      <c r="L68" s="26">
        <f>IF(J68="","",J68*N(K68))</f>
        <v/>
      </c>
    </row>
    <row r="69">
      <c r="A69" s="13" t="n"/>
      <c r="B69" s="14" t="n"/>
      <c r="C69" s="14" t="n"/>
      <c r="D69" s="27" t="n"/>
      <c r="E69" s="15" t="n"/>
      <c r="F69" s="16" t="n"/>
      <c r="G69" s="16" t="n"/>
      <c r="H69" s="16">
        <f>IF(F69="","",MAX(0,F69-N(G69)*N(E69)))</f>
        <v/>
      </c>
      <c r="I69" s="17" t="n">
        <v>0.52</v>
      </c>
      <c r="J69" s="18">
        <f>IF(H69="","",H69*N(I69)/15)</f>
        <v/>
      </c>
      <c r="K69" s="19" t="n"/>
      <c r="L69" s="19">
        <f>IF(J69="","",J69*N(K69))</f>
        <v/>
      </c>
    </row>
    <row r="70">
      <c r="A70" s="20" t="n"/>
      <c r="B70" s="21" t="n"/>
      <c r="C70" s="21" t="n"/>
      <c r="D70" s="28" t="n"/>
      <c r="E70" s="22" t="n"/>
      <c r="F70" s="23" t="n"/>
      <c r="G70" s="23" t="n"/>
      <c r="H70" s="23">
        <f>IF(F70="","",MAX(0,F70-N(G70)*N(E70)))</f>
        <v/>
      </c>
      <c r="I70" s="24" t="n">
        <v>0.52</v>
      </c>
      <c r="J70" s="25">
        <f>IF(H70="","",H70*N(I70)/15)</f>
        <v/>
      </c>
      <c r="K70" s="26" t="n"/>
      <c r="L70" s="26">
        <f>IF(J70="","",J70*N(K70))</f>
        <v/>
      </c>
    </row>
    <row r="71">
      <c r="A71" s="13" t="n"/>
      <c r="B71" s="14" t="n"/>
      <c r="C71" s="14" t="n"/>
      <c r="D71" s="27" t="n"/>
      <c r="E71" s="15" t="n"/>
      <c r="F71" s="16" t="n"/>
      <c r="G71" s="16" t="n"/>
      <c r="H71" s="16">
        <f>IF(F71="","",MAX(0,F71-N(G71)*N(E71)))</f>
        <v/>
      </c>
      <c r="I71" s="17" t="n">
        <v>0.52</v>
      </c>
      <c r="J71" s="18">
        <f>IF(H71="","",H71*N(I71)/15)</f>
        <v/>
      </c>
      <c r="K71" s="19" t="n"/>
      <c r="L71" s="19">
        <f>IF(J71="","",J71*N(K71))</f>
        <v/>
      </c>
    </row>
    <row r="72">
      <c r="A72" s="20" t="n"/>
      <c r="B72" s="21" t="n"/>
      <c r="C72" s="21" t="n"/>
      <c r="D72" s="28" t="n"/>
      <c r="E72" s="22" t="n"/>
      <c r="F72" s="23" t="n"/>
      <c r="G72" s="23" t="n"/>
      <c r="H72" s="23">
        <f>IF(F72="","",MAX(0,F72-N(G72)*N(E72)))</f>
        <v/>
      </c>
      <c r="I72" s="24" t="n">
        <v>0.52</v>
      </c>
      <c r="J72" s="25">
        <f>IF(H72="","",H72*N(I72)/15)</f>
        <v/>
      </c>
      <c r="K72" s="26" t="n"/>
      <c r="L72" s="26">
        <f>IF(J72="","",J72*N(K72))</f>
        <v/>
      </c>
    </row>
    <row r="73">
      <c r="A73" s="13" t="n"/>
      <c r="B73" s="14" t="n"/>
      <c r="C73" s="14" t="n"/>
      <c r="D73" s="27" t="n"/>
      <c r="E73" s="15" t="n"/>
      <c r="F73" s="16" t="n"/>
      <c r="G73" s="16" t="n"/>
      <c r="H73" s="16">
        <f>IF(F73="","",MAX(0,F73-N(G73)*N(E73)))</f>
        <v/>
      </c>
      <c r="I73" s="17" t="n">
        <v>0.52</v>
      </c>
      <c r="J73" s="18">
        <f>IF(H73="","",H73*N(I73)/15)</f>
        <v/>
      </c>
      <c r="K73" s="19" t="n"/>
      <c r="L73" s="19">
        <f>IF(J73="","",J73*N(K73))</f>
        <v/>
      </c>
    </row>
    <row r="74">
      <c r="A74" s="20" t="n"/>
      <c r="B74" s="21" t="n"/>
      <c r="C74" s="21" t="n"/>
      <c r="D74" s="28" t="n"/>
      <c r="E74" s="22" t="n"/>
      <c r="F74" s="23" t="n"/>
      <c r="G74" s="23" t="n"/>
      <c r="H74" s="23">
        <f>IF(F74="","",MAX(0,F74-N(G74)*N(E74)))</f>
        <v/>
      </c>
      <c r="I74" s="24" t="n">
        <v>0.52</v>
      </c>
      <c r="J74" s="25">
        <f>IF(H74="","",H74*N(I74)/15)</f>
        <v/>
      </c>
      <c r="K74" s="26" t="n"/>
      <c r="L74" s="26">
        <f>IF(J74="","",J74*N(K74))</f>
        <v/>
      </c>
    </row>
    <row r="75">
      <c r="A75" s="13" t="n"/>
      <c r="B75" s="14" t="n"/>
      <c r="C75" s="14" t="n"/>
      <c r="D75" s="27" t="n"/>
      <c r="E75" s="15" t="n"/>
      <c r="F75" s="16" t="n"/>
      <c r="G75" s="16" t="n"/>
      <c r="H75" s="16">
        <f>IF(F75="","",MAX(0,F75-N(G75)*N(E75)))</f>
        <v/>
      </c>
      <c r="I75" s="17" t="n">
        <v>0.52</v>
      </c>
      <c r="J75" s="18">
        <f>IF(H75="","",H75*N(I75)/15)</f>
        <v/>
      </c>
      <c r="K75" s="19" t="n"/>
      <c r="L75" s="19">
        <f>IF(J75="","",J75*N(K75))</f>
        <v/>
      </c>
    </row>
    <row r="76">
      <c r="A76" s="20" t="n"/>
      <c r="B76" s="21" t="n"/>
      <c r="C76" s="21" t="n"/>
      <c r="D76" s="28" t="n"/>
      <c r="E76" s="22" t="n"/>
      <c r="F76" s="23" t="n"/>
      <c r="G76" s="23" t="n"/>
      <c r="H76" s="23">
        <f>IF(F76="","",MAX(0,F76-N(G76)*N(E76)))</f>
        <v/>
      </c>
      <c r="I76" s="24" t="n">
        <v>0.52</v>
      </c>
      <c r="J76" s="25">
        <f>IF(H76="","",H76*N(I76)/15)</f>
        <v/>
      </c>
      <c r="K76" s="26" t="n"/>
      <c r="L76" s="26">
        <f>IF(J76="","",J76*N(K76))</f>
        <v/>
      </c>
    </row>
    <row r="77">
      <c r="A77" s="13" t="n"/>
      <c r="B77" s="14" t="n"/>
      <c r="C77" s="14" t="n"/>
      <c r="D77" s="27" t="n"/>
      <c r="E77" s="15" t="n"/>
      <c r="F77" s="16" t="n"/>
      <c r="G77" s="16" t="n"/>
      <c r="H77" s="16">
        <f>IF(F77="","",MAX(0,F77-N(G77)*N(E77)))</f>
        <v/>
      </c>
      <c r="I77" s="17" t="n">
        <v>0.52</v>
      </c>
      <c r="J77" s="18">
        <f>IF(H77="","",H77*N(I77)/15)</f>
        <v/>
      </c>
      <c r="K77" s="19" t="n"/>
      <c r="L77" s="19">
        <f>IF(J77="","",J77*N(K77))</f>
        <v/>
      </c>
    </row>
    <row r="78">
      <c r="A78" s="20" t="n"/>
      <c r="B78" s="21" t="n"/>
      <c r="C78" s="21" t="n"/>
      <c r="D78" s="28" t="n"/>
      <c r="E78" s="22" t="n"/>
      <c r="F78" s="23" t="n"/>
      <c r="G78" s="23" t="n"/>
      <c r="H78" s="23">
        <f>IF(F78="","",MAX(0,F78-N(G78)*N(E78)))</f>
        <v/>
      </c>
      <c r="I78" s="24" t="n">
        <v>0.52</v>
      </c>
      <c r="J78" s="25">
        <f>IF(H78="","",H78*N(I78)/15)</f>
        <v/>
      </c>
      <c r="K78" s="26" t="n"/>
      <c r="L78" s="26">
        <f>IF(J78="","",J78*N(K78))</f>
        <v/>
      </c>
    </row>
    <row r="79">
      <c r="A79" s="13" t="n"/>
      <c r="B79" s="14" t="n"/>
      <c r="C79" s="14" t="n"/>
      <c r="D79" s="27" t="n"/>
      <c r="E79" s="15" t="n"/>
      <c r="F79" s="16" t="n"/>
      <c r="G79" s="16" t="n"/>
      <c r="H79" s="16">
        <f>IF(F79="","",MAX(0,F79-N(G79)*N(E79)))</f>
        <v/>
      </c>
      <c r="I79" s="17" t="n">
        <v>0.52</v>
      </c>
      <c r="J79" s="18">
        <f>IF(H79="","",H79*N(I79)/15)</f>
        <v/>
      </c>
      <c r="K79" s="19" t="n"/>
      <c r="L79" s="19">
        <f>IF(J79="","",J79*N(K79))</f>
        <v/>
      </c>
    </row>
    <row r="80">
      <c r="A80" s="20" t="n"/>
      <c r="B80" s="21" t="n"/>
      <c r="C80" s="21" t="n"/>
      <c r="D80" s="28" t="n"/>
      <c r="E80" s="22" t="n"/>
      <c r="F80" s="23" t="n"/>
      <c r="G80" s="23" t="n"/>
      <c r="H80" s="23">
        <f>IF(F80="","",MAX(0,F80-N(G80)*N(E80)))</f>
        <v/>
      </c>
      <c r="I80" s="24" t="n">
        <v>0.52</v>
      </c>
      <c r="J80" s="25">
        <f>IF(H80="","",H80*N(I80)/15)</f>
        <v/>
      </c>
      <c r="K80" s="26" t="n"/>
      <c r="L80" s="26">
        <f>IF(J80="","",J80*N(K80))</f>
        <v/>
      </c>
    </row>
    <row r="81">
      <c r="A81" s="13" t="n"/>
      <c r="B81" s="14" t="n"/>
      <c r="C81" s="14" t="n"/>
      <c r="D81" s="27" t="n"/>
      <c r="E81" s="15" t="n"/>
      <c r="F81" s="16" t="n"/>
      <c r="G81" s="16" t="n"/>
      <c r="H81" s="16">
        <f>IF(F81="","",MAX(0,F81-N(G81)*N(E81)))</f>
        <v/>
      </c>
      <c r="I81" s="17" t="n">
        <v>0.52</v>
      </c>
      <c r="J81" s="18">
        <f>IF(H81="","",H81*N(I81)/15)</f>
        <v/>
      </c>
      <c r="K81" s="19" t="n"/>
      <c r="L81" s="19">
        <f>IF(J81="","",J81*N(K81))</f>
        <v/>
      </c>
    </row>
    <row r="82">
      <c r="A82" s="20" t="n"/>
      <c r="B82" s="21" t="n"/>
      <c r="C82" s="21" t="n"/>
      <c r="D82" s="28" t="n"/>
      <c r="E82" s="22" t="n"/>
      <c r="F82" s="23" t="n"/>
      <c r="G82" s="23" t="n"/>
      <c r="H82" s="23">
        <f>IF(F82="","",MAX(0,F82-N(G82)*N(E82)))</f>
        <v/>
      </c>
      <c r="I82" s="24" t="n">
        <v>0.52</v>
      </c>
      <c r="J82" s="25">
        <f>IF(H82="","",H82*N(I82)/15)</f>
        <v/>
      </c>
      <c r="K82" s="26" t="n"/>
      <c r="L82" s="26">
        <f>IF(J82="","",J82*N(K82))</f>
        <v/>
      </c>
    </row>
    <row r="83">
      <c r="A83" s="13" t="n"/>
      <c r="B83" s="14" t="n"/>
      <c r="C83" s="14" t="n"/>
      <c r="D83" s="27" t="n"/>
      <c r="E83" s="15" t="n"/>
      <c r="F83" s="16" t="n"/>
      <c r="G83" s="16" t="n"/>
      <c r="H83" s="16">
        <f>IF(F83="","",MAX(0,F83-N(G83)*N(E83)))</f>
        <v/>
      </c>
      <c r="I83" s="17" t="n">
        <v>0.52</v>
      </c>
      <c r="J83" s="18">
        <f>IF(H83="","",H83*N(I83)/15)</f>
        <v/>
      </c>
      <c r="K83" s="19" t="n"/>
      <c r="L83" s="19">
        <f>IF(J83="","",J83*N(K83))</f>
        <v/>
      </c>
    </row>
    <row r="84">
      <c r="A84" s="20" t="n"/>
      <c r="B84" s="21" t="n"/>
      <c r="C84" s="21" t="n"/>
      <c r="D84" s="28" t="n"/>
      <c r="E84" s="22" t="n"/>
      <c r="F84" s="23" t="n"/>
      <c r="G84" s="23" t="n"/>
      <c r="H84" s="23">
        <f>IF(F84="","",MAX(0,F84-N(G84)*N(E84)))</f>
        <v/>
      </c>
      <c r="I84" s="24" t="n">
        <v>0.52</v>
      </c>
      <c r="J84" s="25">
        <f>IF(H84="","",H84*N(I84)/15)</f>
        <v/>
      </c>
      <c r="K84" s="26" t="n"/>
      <c r="L84" s="26">
        <f>IF(J84="","",J84*N(K84))</f>
        <v/>
      </c>
    </row>
    <row r="85">
      <c r="A85" s="13" t="n"/>
      <c r="B85" s="14" t="n"/>
      <c r="C85" s="14" t="n"/>
      <c r="D85" s="27" t="n"/>
      <c r="E85" s="15" t="n"/>
      <c r="F85" s="16" t="n"/>
      <c r="G85" s="16" t="n"/>
      <c r="H85" s="16">
        <f>IF(F85="","",MAX(0,F85-N(G85)*N(E85)))</f>
        <v/>
      </c>
      <c r="I85" s="17" t="n">
        <v>0.52</v>
      </c>
      <c r="J85" s="18">
        <f>IF(H85="","",H85*N(I85)/15)</f>
        <v/>
      </c>
      <c r="K85" s="19" t="n"/>
      <c r="L85" s="19">
        <f>IF(J85="","",J85*N(K85))</f>
        <v/>
      </c>
    </row>
    <row r="86">
      <c r="A86" s="20" t="n"/>
      <c r="B86" s="21" t="n"/>
      <c r="C86" s="21" t="n"/>
      <c r="D86" s="28" t="n"/>
      <c r="E86" s="22" t="n"/>
      <c r="F86" s="23" t="n"/>
      <c r="G86" s="23" t="n"/>
      <c r="H86" s="23">
        <f>IF(F86="","",MAX(0,F86-N(G86)*N(E86)))</f>
        <v/>
      </c>
      <c r="I86" s="24" t="n">
        <v>0.52</v>
      </c>
      <c r="J86" s="25">
        <f>IF(H86="","",H86*N(I86)/15)</f>
        <v/>
      </c>
      <c r="K86" s="26" t="n"/>
      <c r="L86" s="26">
        <f>IF(J86="","",J86*N(K86))</f>
        <v/>
      </c>
    </row>
    <row r="87">
      <c r="A87" s="13" t="n"/>
      <c r="B87" s="14" t="n"/>
      <c r="C87" s="14" t="n"/>
      <c r="D87" s="27" t="n"/>
      <c r="E87" s="15" t="n"/>
      <c r="F87" s="16" t="n"/>
      <c r="G87" s="16" t="n"/>
      <c r="H87" s="16">
        <f>IF(F87="","",MAX(0,F87-N(G87)*N(E87)))</f>
        <v/>
      </c>
      <c r="I87" s="17" t="n">
        <v>0.52</v>
      </c>
      <c r="J87" s="18">
        <f>IF(H87="","",H87*N(I87)/15)</f>
        <v/>
      </c>
      <c r="K87" s="19" t="n"/>
      <c r="L87" s="19">
        <f>IF(J87="","",J87*N(K87))</f>
        <v/>
      </c>
    </row>
    <row r="88">
      <c r="A88" s="20" t="n"/>
      <c r="B88" s="21" t="n"/>
      <c r="C88" s="21" t="n"/>
      <c r="D88" s="28" t="n"/>
      <c r="E88" s="22" t="n"/>
      <c r="F88" s="23" t="n"/>
      <c r="G88" s="23" t="n"/>
      <c r="H88" s="23">
        <f>IF(F88="","",MAX(0,F88-N(G88)*N(E88)))</f>
        <v/>
      </c>
      <c r="I88" s="24" t="n">
        <v>0.52</v>
      </c>
      <c r="J88" s="25">
        <f>IF(H88="","",H88*N(I88)/15)</f>
        <v/>
      </c>
      <c r="K88" s="26" t="n"/>
      <c r="L88" s="26">
        <f>IF(J88="","",J88*N(K88))</f>
        <v/>
      </c>
    </row>
    <row r="89">
      <c r="A89" s="13" t="n"/>
      <c r="B89" s="14" t="n"/>
      <c r="C89" s="14" t="n"/>
      <c r="D89" s="27" t="n"/>
      <c r="E89" s="15" t="n"/>
      <c r="F89" s="16" t="n"/>
      <c r="G89" s="16" t="n"/>
      <c r="H89" s="16">
        <f>IF(F89="","",MAX(0,F89-N(G89)*N(E89)))</f>
        <v/>
      </c>
      <c r="I89" s="17" t="n">
        <v>0.52</v>
      </c>
      <c r="J89" s="18">
        <f>IF(H89="","",H89*N(I89)/15)</f>
        <v/>
      </c>
      <c r="K89" s="19" t="n"/>
      <c r="L89" s="19">
        <f>IF(J89="","",J89*N(K89))</f>
        <v/>
      </c>
    </row>
    <row r="90">
      <c r="A90" s="20" t="n"/>
      <c r="B90" s="21" t="n"/>
      <c r="C90" s="21" t="n"/>
      <c r="D90" s="28" t="n"/>
      <c r="E90" s="22" t="n"/>
      <c r="F90" s="23" t="n"/>
      <c r="G90" s="23" t="n"/>
      <c r="H90" s="23">
        <f>IF(F90="","",MAX(0,F90-N(G90)*N(E90)))</f>
        <v/>
      </c>
      <c r="I90" s="24" t="n">
        <v>0.52</v>
      </c>
      <c r="J90" s="25">
        <f>IF(H90="","",H90*N(I90)/15)</f>
        <v/>
      </c>
      <c r="K90" s="26" t="n"/>
      <c r="L90" s="26">
        <f>IF(J90="","",J90*N(K90))</f>
        <v/>
      </c>
    </row>
    <row r="91">
      <c r="A91" s="13" t="n"/>
      <c r="B91" s="14" t="n"/>
      <c r="C91" s="14" t="n"/>
      <c r="D91" s="27" t="n"/>
      <c r="E91" s="15" t="n"/>
      <c r="F91" s="16" t="n"/>
      <c r="G91" s="16" t="n"/>
      <c r="H91" s="16">
        <f>IF(F91="","",MAX(0,F91-N(G91)*N(E91)))</f>
        <v/>
      </c>
      <c r="I91" s="17" t="n">
        <v>0.52</v>
      </c>
      <c r="J91" s="18">
        <f>IF(H91="","",H91*N(I91)/15)</f>
        <v/>
      </c>
      <c r="K91" s="19" t="n"/>
      <c r="L91" s="19">
        <f>IF(J91="","",J91*N(K91))</f>
        <v/>
      </c>
    </row>
    <row r="92">
      <c r="A92" s="20" t="n"/>
      <c r="B92" s="21" t="n"/>
      <c r="C92" s="21" t="n"/>
      <c r="D92" s="28" t="n"/>
      <c r="E92" s="22" t="n"/>
      <c r="F92" s="23" t="n"/>
      <c r="G92" s="23" t="n"/>
      <c r="H92" s="23">
        <f>IF(F92="","",MAX(0,F92-N(G92)*N(E92)))</f>
        <v/>
      </c>
      <c r="I92" s="24" t="n">
        <v>0.52</v>
      </c>
      <c r="J92" s="25">
        <f>IF(H92="","",H92*N(I92)/15)</f>
        <v/>
      </c>
      <c r="K92" s="26" t="n"/>
      <c r="L92" s="26">
        <f>IF(J92="","",J92*N(K92))</f>
        <v/>
      </c>
    </row>
    <row r="93">
      <c r="A93" s="13" t="n"/>
      <c r="B93" s="14" t="n"/>
      <c r="C93" s="14" t="n"/>
      <c r="D93" s="27" t="n"/>
      <c r="E93" s="15" t="n"/>
      <c r="F93" s="16" t="n"/>
      <c r="G93" s="16" t="n"/>
      <c r="H93" s="16">
        <f>IF(F93="","",MAX(0,F93-N(G93)*N(E93)))</f>
        <v/>
      </c>
      <c r="I93" s="17" t="n">
        <v>0.52</v>
      </c>
      <c r="J93" s="18">
        <f>IF(H93="","",H93*N(I93)/15)</f>
        <v/>
      </c>
      <c r="K93" s="19" t="n"/>
      <c r="L93" s="19">
        <f>IF(J93="","",J93*N(K93))</f>
        <v/>
      </c>
    </row>
    <row r="94">
      <c r="A94" s="20" t="n"/>
      <c r="B94" s="21" t="n"/>
      <c r="C94" s="21" t="n"/>
      <c r="D94" s="28" t="n"/>
      <c r="E94" s="22" t="n"/>
      <c r="F94" s="23" t="n"/>
      <c r="G94" s="23" t="n"/>
      <c r="H94" s="23">
        <f>IF(F94="","",MAX(0,F94-N(G94)*N(E94)))</f>
        <v/>
      </c>
      <c r="I94" s="24" t="n">
        <v>0.52</v>
      </c>
      <c r="J94" s="25">
        <f>IF(H94="","",H94*N(I94)/15)</f>
        <v/>
      </c>
      <c r="K94" s="26" t="n"/>
      <c r="L94" s="26">
        <f>IF(J94="","",J94*N(K94))</f>
        <v/>
      </c>
    </row>
    <row r="95">
      <c r="A95" s="13" t="n"/>
      <c r="B95" s="14" t="n"/>
      <c r="C95" s="14" t="n"/>
      <c r="D95" s="27" t="n"/>
      <c r="E95" s="15" t="n"/>
      <c r="F95" s="16" t="n"/>
      <c r="G95" s="16" t="n"/>
      <c r="H95" s="16">
        <f>IF(F95="","",MAX(0,F95-N(G95)*N(E95)))</f>
        <v/>
      </c>
      <c r="I95" s="17" t="n">
        <v>0.52</v>
      </c>
      <c r="J95" s="18">
        <f>IF(H95="","",H95*N(I95)/15)</f>
        <v/>
      </c>
      <c r="K95" s="19" t="n"/>
      <c r="L95" s="19">
        <f>IF(J95="","",J95*N(K95))</f>
        <v/>
      </c>
    </row>
    <row r="96">
      <c r="A96" s="20" t="n"/>
      <c r="B96" s="21" t="n"/>
      <c r="C96" s="21" t="n"/>
      <c r="D96" s="28" t="n"/>
      <c r="E96" s="22" t="n"/>
      <c r="F96" s="23" t="n"/>
      <c r="G96" s="23" t="n"/>
      <c r="H96" s="23">
        <f>IF(F96="","",MAX(0,F96-N(G96)*N(E96)))</f>
        <v/>
      </c>
      <c r="I96" s="24" t="n">
        <v>0.52</v>
      </c>
      <c r="J96" s="25">
        <f>IF(H96="","",H96*N(I96)/15)</f>
        <v/>
      </c>
      <c r="K96" s="26" t="n"/>
      <c r="L96" s="26">
        <f>IF(J96="","",J96*N(K96))</f>
        <v/>
      </c>
    </row>
    <row r="97">
      <c r="A97" s="13" t="n"/>
      <c r="B97" s="14" t="n"/>
      <c r="C97" s="14" t="n"/>
      <c r="D97" s="27" t="n"/>
      <c r="E97" s="15" t="n"/>
      <c r="F97" s="16" t="n"/>
      <c r="G97" s="16" t="n"/>
      <c r="H97" s="16">
        <f>IF(F97="","",MAX(0,F97-N(G97)*N(E97)))</f>
        <v/>
      </c>
      <c r="I97" s="17" t="n">
        <v>0.52</v>
      </c>
      <c r="J97" s="18">
        <f>IF(H97="","",H97*N(I97)/15)</f>
        <v/>
      </c>
      <c r="K97" s="19" t="n"/>
      <c r="L97" s="19">
        <f>IF(J97="","",J97*N(K97))</f>
        <v/>
      </c>
    </row>
    <row r="98">
      <c r="A98" s="20" t="n"/>
      <c r="B98" s="21" t="n"/>
      <c r="C98" s="21" t="n"/>
      <c r="D98" s="28" t="n"/>
      <c r="E98" s="22" t="n"/>
      <c r="F98" s="23" t="n"/>
      <c r="G98" s="23" t="n"/>
      <c r="H98" s="23">
        <f>IF(F98="","",MAX(0,F98-N(G98)*N(E98)))</f>
        <v/>
      </c>
      <c r="I98" s="24" t="n">
        <v>0.52</v>
      </c>
      <c r="J98" s="25">
        <f>IF(H98="","",H98*N(I98)/15)</f>
        <v/>
      </c>
      <c r="K98" s="26" t="n"/>
      <c r="L98" s="26">
        <f>IF(J98="","",J98*N(K98))</f>
        <v/>
      </c>
    </row>
    <row r="99">
      <c r="A99" s="13" t="n"/>
      <c r="B99" s="14" t="n"/>
      <c r="C99" s="14" t="n"/>
      <c r="D99" s="27" t="n"/>
      <c r="E99" s="15" t="n"/>
      <c r="F99" s="16" t="n"/>
      <c r="G99" s="16" t="n"/>
      <c r="H99" s="16">
        <f>IF(F99="","",MAX(0,F99-N(G99)*N(E99)))</f>
        <v/>
      </c>
      <c r="I99" s="17" t="n">
        <v>0.52</v>
      </c>
      <c r="J99" s="18">
        <f>IF(H99="","",H99*N(I99)/15)</f>
        <v/>
      </c>
      <c r="K99" s="19" t="n"/>
      <c r="L99" s="19">
        <f>IF(J99="","",J99*N(K99))</f>
        <v/>
      </c>
    </row>
    <row r="100">
      <c r="A100" s="20" t="n"/>
      <c r="B100" s="21" t="n"/>
      <c r="C100" s="21" t="n"/>
      <c r="D100" s="28" t="n"/>
      <c r="E100" s="22" t="n"/>
      <c r="F100" s="23" t="n"/>
      <c r="G100" s="23" t="n"/>
      <c r="H100" s="23">
        <f>IF(F100="","",MAX(0,F100-N(G100)*N(E100)))</f>
        <v/>
      </c>
      <c r="I100" s="24" t="n">
        <v>0.52</v>
      </c>
      <c r="J100" s="25">
        <f>IF(H100="","",H100*N(I100)/15)</f>
        <v/>
      </c>
      <c r="K100" s="26" t="n"/>
      <c r="L100" s="26">
        <f>IF(J100="","",J100*N(K100))</f>
        <v/>
      </c>
    </row>
    <row r="101">
      <c r="A101" s="13" t="n"/>
      <c r="B101" s="14" t="n"/>
      <c r="C101" s="14" t="n"/>
      <c r="D101" s="27" t="n"/>
      <c r="E101" s="15" t="n"/>
      <c r="F101" s="16" t="n"/>
      <c r="G101" s="16" t="n"/>
      <c r="H101" s="16">
        <f>IF(F101="","",MAX(0,F101-N(G101)*N(E101)))</f>
        <v/>
      </c>
      <c r="I101" s="17" t="n">
        <v>0.52</v>
      </c>
      <c r="J101" s="18">
        <f>IF(H101="","",H101*N(I101)/15)</f>
        <v/>
      </c>
      <c r="K101" s="19" t="n"/>
      <c r="L101" s="19">
        <f>IF(J101="","",J101*N(K101))</f>
        <v/>
      </c>
    </row>
    <row r="102">
      <c r="A102" s="20" t="n"/>
      <c r="B102" s="21" t="n"/>
      <c r="C102" s="21" t="n"/>
      <c r="D102" s="28" t="n"/>
      <c r="E102" s="22" t="n"/>
      <c r="F102" s="23" t="n"/>
      <c r="G102" s="23" t="n"/>
      <c r="H102" s="23">
        <f>IF(F102="","",MAX(0,F102-N(G102)*N(E102)))</f>
        <v/>
      </c>
      <c r="I102" s="24" t="n">
        <v>0.52</v>
      </c>
      <c r="J102" s="25">
        <f>IF(H102="","",H102*N(I102)/15)</f>
        <v/>
      </c>
      <c r="K102" s="26" t="n"/>
      <c r="L102" s="26">
        <f>IF(J102="","",J102*N(K102))</f>
        <v/>
      </c>
    </row>
    <row r="103">
      <c r="A103" s="13" t="n"/>
      <c r="B103" s="14" t="n"/>
      <c r="C103" s="14" t="n"/>
      <c r="D103" s="27" t="n"/>
      <c r="E103" s="15" t="n"/>
      <c r="F103" s="16" t="n"/>
      <c r="G103" s="16" t="n"/>
      <c r="H103" s="16">
        <f>IF(F103="","",MAX(0,F103-N(G103)*N(E103)))</f>
        <v/>
      </c>
      <c r="I103" s="17" t="n">
        <v>0.52</v>
      </c>
      <c r="J103" s="18">
        <f>IF(H103="","",H103*N(I103)/15)</f>
        <v/>
      </c>
      <c r="K103" s="19" t="n"/>
      <c r="L103" s="19">
        <f>IF(J103="","",J103*N(K103))</f>
        <v/>
      </c>
    </row>
    <row r="104">
      <c r="A104" s="20" t="n"/>
      <c r="B104" s="21" t="n"/>
      <c r="C104" s="21" t="n"/>
      <c r="D104" s="28" t="n"/>
      <c r="E104" s="22" t="n"/>
      <c r="F104" s="23" t="n"/>
      <c r="G104" s="23" t="n"/>
      <c r="H104" s="23">
        <f>IF(F104="","",MAX(0,F104-N(G104)*N(E104)))</f>
        <v/>
      </c>
      <c r="I104" s="24" t="n">
        <v>0.52</v>
      </c>
      <c r="J104" s="25">
        <f>IF(H104="","",H104*N(I104)/15)</f>
        <v/>
      </c>
      <c r="K104" s="26" t="n"/>
      <c r="L104" s="26">
        <f>IF(J104="","",J104*N(K104))</f>
        <v/>
      </c>
    </row>
    <row r="105">
      <c r="A105" s="13" t="n"/>
      <c r="B105" s="14" t="n"/>
      <c r="C105" s="14" t="n"/>
      <c r="D105" s="27" t="n"/>
      <c r="E105" s="15" t="n"/>
      <c r="F105" s="16" t="n"/>
      <c r="G105" s="16" t="n"/>
      <c r="H105" s="16">
        <f>IF(F105="","",MAX(0,F105-N(G105)*N(E105)))</f>
        <v/>
      </c>
      <c r="I105" s="17" t="n">
        <v>0.52</v>
      </c>
      <c r="J105" s="18">
        <f>IF(H105="","",H105*N(I105)/15)</f>
        <v/>
      </c>
      <c r="K105" s="19" t="n"/>
      <c r="L105" s="19">
        <f>IF(J105="","",J105*N(K105))</f>
        <v/>
      </c>
    </row>
    <row r="106">
      <c r="A106" s="20" t="n"/>
      <c r="B106" s="21" t="n"/>
      <c r="C106" s="21" t="n"/>
      <c r="D106" s="28" t="n"/>
      <c r="E106" s="22" t="n"/>
      <c r="F106" s="23" t="n"/>
      <c r="G106" s="23" t="n"/>
      <c r="H106" s="23">
        <f>IF(F106="","",MAX(0,F106-N(G106)*N(E106)))</f>
        <v/>
      </c>
      <c r="I106" s="24" t="n">
        <v>0.52</v>
      </c>
      <c r="J106" s="25">
        <f>IF(H106="","",H106*N(I106)/15)</f>
        <v/>
      </c>
      <c r="K106" s="26" t="n"/>
      <c r="L106" s="26">
        <f>IF(J106="","",J106*N(K106))</f>
        <v/>
      </c>
    </row>
    <row r="107">
      <c r="A107" s="13" t="n"/>
      <c r="B107" s="14" t="n"/>
      <c r="C107" s="14" t="n"/>
      <c r="D107" s="27" t="n"/>
      <c r="E107" s="15" t="n"/>
      <c r="F107" s="16" t="n"/>
      <c r="G107" s="16" t="n"/>
      <c r="H107" s="16">
        <f>IF(F107="","",MAX(0,F107-N(G107)*N(E107)))</f>
        <v/>
      </c>
      <c r="I107" s="17" t="n">
        <v>0.52</v>
      </c>
      <c r="J107" s="18">
        <f>IF(H107="","",H107*N(I107)/15)</f>
        <v/>
      </c>
      <c r="K107" s="19" t="n"/>
      <c r="L107" s="19">
        <f>IF(J107="","",J107*N(K107))</f>
        <v/>
      </c>
    </row>
    <row r="108">
      <c r="A108" s="20" t="n"/>
      <c r="B108" s="21" t="n"/>
      <c r="C108" s="21" t="n"/>
      <c r="D108" s="28" t="n"/>
      <c r="E108" s="22" t="n"/>
      <c r="F108" s="23" t="n"/>
      <c r="G108" s="23" t="n"/>
      <c r="H108" s="23">
        <f>IF(F108="","",MAX(0,F108-N(G108)*N(E108)))</f>
        <v/>
      </c>
      <c r="I108" s="24" t="n">
        <v>0.52</v>
      </c>
      <c r="J108" s="25">
        <f>IF(H108="","",H108*N(I108)/15)</f>
        <v/>
      </c>
      <c r="K108" s="26" t="n"/>
      <c r="L108" s="26">
        <f>IF(J108="","",J108*N(K108))</f>
        <v/>
      </c>
    </row>
    <row r="109">
      <c r="A109" s="13" t="n"/>
      <c r="B109" s="14" t="n"/>
      <c r="C109" s="14" t="n"/>
      <c r="D109" s="27" t="n"/>
      <c r="E109" s="15" t="n"/>
      <c r="F109" s="16" t="n"/>
      <c r="G109" s="16" t="n"/>
      <c r="H109" s="16">
        <f>IF(F109="","",MAX(0,F109-N(G109)*N(E109)))</f>
        <v/>
      </c>
      <c r="I109" s="17" t="n">
        <v>0.52</v>
      </c>
      <c r="J109" s="18">
        <f>IF(H109="","",H109*N(I109)/15)</f>
        <v/>
      </c>
      <c r="K109" s="19" t="n"/>
      <c r="L109" s="19">
        <f>IF(J109="","",J109*N(K109))</f>
        <v/>
      </c>
    </row>
    <row r="110">
      <c r="A110" s="20" t="n"/>
      <c r="B110" s="21" t="n"/>
      <c r="C110" s="21" t="n"/>
      <c r="D110" s="28" t="n"/>
      <c r="E110" s="22" t="n"/>
      <c r="F110" s="23" t="n"/>
      <c r="G110" s="23" t="n"/>
      <c r="H110" s="23">
        <f>IF(F110="","",MAX(0,F110-N(G110)*N(E110)))</f>
        <v/>
      </c>
      <c r="I110" s="24" t="n">
        <v>0.52</v>
      </c>
      <c r="J110" s="25">
        <f>IF(H110="","",H110*N(I110)/15)</f>
        <v/>
      </c>
      <c r="K110" s="26" t="n"/>
      <c r="L110" s="26">
        <f>IF(J110="","",J110*N(K110))</f>
        <v/>
      </c>
    </row>
    <row r="111">
      <c r="A111" s="13" t="n"/>
      <c r="B111" s="14" t="n"/>
      <c r="C111" s="14" t="n"/>
      <c r="D111" s="27" t="n"/>
      <c r="E111" s="15" t="n"/>
      <c r="F111" s="16" t="n"/>
      <c r="G111" s="16" t="n"/>
      <c r="H111" s="16">
        <f>IF(F111="","",MAX(0,F111-N(G111)*N(E111)))</f>
        <v/>
      </c>
      <c r="I111" s="17" t="n">
        <v>0.52</v>
      </c>
      <c r="J111" s="18">
        <f>IF(H111="","",H111*N(I111)/15)</f>
        <v/>
      </c>
      <c r="K111" s="19" t="n"/>
      <c r="L111" s="19">
        <f>IF(J111="","",J111*N(K111))</f>
        <v/>
      </c>
    </row>
    <row r="112">
      <c r="A112" s="20" t="n"/>
      <c r="B112" s="21" t="n"/>
      <c r="C112" s="21" t="n"/>
      <c r="D112" s="28" t="n"/>
      <c r="E112" s="22" t="n"/>
      <c r="F112" s="23" t="n"/>
      <c r="G112" s="23" t="n"/>
      <c r="H112" s="23">
        <f>IF(F112="","",MAX(0,F112-N(G112)*N(E112)))</f>
        <v/>
      </c>
      <c r="I112" s="24" t="n">
        <v>0.52</v>
      </c>
      <c r="J112" s="25">
        <f>IF(H112="","",H112*N(I112)/15)</f>
        <v/>
      </c>
      <c r="K112" s="26" t="n"/>
      <c r="L112" s="26">
        <f>IF(J112="","",J112*N(K112))</f>
        <v/>
      </c>
    </row>
    <row r="113">
      <c r="A113" s="13" t="n"/>
      <c r="B113" s="14" t="n"/>
      <c r="C113" s="14" t="n"/>
      <c r="D113" s="27" t="n"/>
      <c r="E113" s="15" t="n"/>
      <c r="F113" s="16" t="n"/>
      <c r="G113" s="16" t="n"/>
      <c r="H113" s="16">
        <f>IF(F113="","",MAX(0,F113-N(G113)*N(E113)))</f>
        <v/>
      </c>
      <c r="I113" s="17" t="n">
        <v>0.52</v>
      </c>
      <c r="J113" s="18">
        <f>IF(H113="","",H113*N(I113)/15)</f>
        <v/>
      </c>
      <c r="K113" s="19" t="n"/>
      <c r="L113" s="19">
        <f>IF(J113="","",J113*N(K113))</f>
        <v/>
      </c>
    </row>
    <row r="114">
      <c r="A114" s="20" t="n"/>
      <c r="B114" s="21" t="n"/>
      <c r="C114" s="21" t="n"/>
      <c r="D114" s="28" t="n"/>
      <c r="E114" s="22" t="n"/>
      <c r="F114" s="23" t="n"/>
      <c r="G114" s="23" t="n"/>
      <c r="H114" s="23">
        <f>IF(F114="","",MAX(0,F114-N(G114)*N(E114)))</f>
        <v/>
      </c>
      <c r="I114" s="24" t="n">
        <v>0.52</v>
      </c>
      <c r="J114" s="25">
        <f>IF(H114="","",H114*N(I114)/15)</f>
        <v/>
      </c>
      <c r="K114" s="26" t="n"/>
      <c r="L114" s="26">
        <f>IF(J114="","",J114*N(K114))</f>
        <v/>
      </c>
    </row>
    <row r="115">
      <c r="A115" s="13" t="n"/>
      <c r="B115" s="14" t="n"/>
      <c r="C115" s="14" t="n"/>
      <c r="D115" s="27" t="n"/>
      <c r="E115" s="15" t="n"/>
      <c r="F115" s="16" t="n"/>
      <c r="G115" s="16" t="n"/>
      <c r="H115" s="16">
        <f>IF(F115="","",MAX(0,F115-N(G115)*N(E115)))</f>
        <v/>
      </c>
      <c r="I115" s="17" t="n">
        <v>0.52</v>
      </c>
      <c r="J115" s="18">
        <f>IF(H115="","",H115*N(I115)/15)</f>
        <v/>
      </c>
      <c r="K115" s="19" t="n"/>
      <c r="L115" s="19">
        <f>IF(J115="","",J115*N(K115))</f>
        <v/>
      </c>
    </row>
    <row r="116">
      <c r="A116" s="20" t="n"/>
      <c r="B116" s="21" t="n"/>
      <c r="C116" s="21" t="n"/>
      <c r="D116" s="28" t="n"/>
      <c r="E116" s="22" t="n"/>
      <c r="F116" s="23" t="n"/>
      <c r="G116" s="23" t="n"/>
      <c r="H116" s="23">
        <f>IF(F116="","",MAX(0,F116-N(G116)*N(E116)))</f>
        <v/>
      </c>
      <c r="I116" s="24" t="n">
        <v>0.52</v>
      </c>
      <c r="J116" s="25">
        <f>IF(H116="","",H116*N(I116)/15)</f>
        <v/>
      </c>
      <c r="K116" s="26" t="n"/>
      <c r="L116" s="26">
        <f>IF(J116="","",J116*N(K116))</f>
        <v/>
      </c>
    </row>
    <row r="117">
      <c r="A117" s="13" t="n"/>
      <c r="B117" s="14" t="n"/>
      <c r="C117" s="14" t="n"/>
      <c r="D117" s="27" t="n"/>
      <c r="E117" s="15" t="n"/>
      <c r="F117" s="16" t="n"/>
      <c r="G117" s="16" t="n"/>
      <c r="H117" s="16">
        <f>IF(F117="","",MAX(0,F117-N(G117)*N(E117)))</f>
        <v/>
      </c>
      <c r="I117" s="17" t="n">
        <v>0.52</v>
      </c>
      <c r="J117" s="18">
        <f>IF(H117="","",H117*N(I117)/15)</f>
        <v/>
      </c>
      <c r="K117" s="19" t="n"/>
      <c r="L117" s="19">
        <f>IF(J117="","",J117*N(K117))</f>
        <v/>
      </c>
    </row>
    <row r="118">
      <c r="A118" s="20" t="n"/>
      <c r="B118" s="21" t="n"/>
      <c r="C118" s="21" t="n"/>
      <c r="D118" s="28" t="n"/>
      <c r="E118" s="22" t="n"/>
      <c r="F118" s="23" t="n"/>
      <c r="G118" s="23" t="n"/>
      <c r="H118" s="23">
        <f>IF(F118="","",MAX(0,F118-N(G118)*N(E118)))</f>
        <v/>
      </c>
      <c r="I118" s="24" t="n">
        <v>0.52</v>
      </c>
      <c r="J118" s="25">
        <f>IF(H118="","",H118*N(I118)/15)</f>
        <v/>
      </c>
      <c r="K118" s="26" t="n"/>
      <c r="L118" s="26">
        <f>IF(J118="","",J118*N(K118))</f>
        <v/>
      </c>
    </row>
    <row r="119">
      <c r="A119" s="13" t="n"/>
      <c r="B119" s="14" t="n"/>
      <c r="C119" s="14" t="n"/>
      <c r="D119" s="27" t="n"/>
      <c r="E119" s="15" t="n"/>
      <c r="F119" s="16" t="n"/>
      <c r="G119" s="16" t="n"/>
      <c r="H119" s="16">
        <f>IF(F119="","",MAX(0,F119-N(G119)*N(E119)))</f>
        <v/>
      </c>
      <c r="I119" s="17" t="n">
        <v>0.52</v>
      </c>
      <c r="J119" s="18">
        <f>IF(H119="","",H119*N(I119)/15)</f>
        <v/>
      </c>
      <c r="K119" s="19" t="n"/>
      <c r="L119" s="19">
        <f>IF(J119="","",J119*N(K119))</f>
        <v/>
      </c>
    </row>
    <row r="120">
      <c r="A120" s="20" t="n"/>
      <c r="B120" s="21" t="n"/>
      <c r="C120" s="21" t="n"/>
      <c r="D120" s="28" t="n"/>
      <c r="E120" s="22" t="n"/>
      <c r="F120" s="23" t="n"/>
      <c r="G120" s="23" t="n"/>
      <c r="H120" s="23">
        <f>IF(F120="","",MAX(0,F120-N(G120)*N(E120)))</f>
        <v/>
      </c>
      <c r="I120" s="24" t="n">
        <v>0.52</v>
      </c>
      <c r="J120" s="25">
        <f>IF(H120="","",H120*N(I120)/15)</f>
        <v/>
      </c>
      <c r="K120" s="26" t="n"/>
      <c r="L120" s="26">
        <f>IF(J120="","",J120*N(K120))</f>
        <v/>
      </c>
    </row>
    <row r="121">
      <c r="A121" s="13" t="n"/>
      <c r="B121" s="14" t="n"/>
      <c r="C121" s="14" t="n"/>
      <c r="D121" s="27" t="n"/>
      <c r="E121" s="15" t="n"/>
      <c r="F121" s="16" t="n"/>
      <c r="G121" s="16" t="n"/>
      <c r="H121" s="16">
        <f>IF(F121="","",MAX(0,F121-N(G121)*N(E121)))</f>
        <v/>
      </c>
      <c r="I121" s="17" t="n">
        <v>0.52</v>
      </c>
      <c r="J121" s="18">
        <f>IF(H121="","",H121*N(I121)/15)</f>
        <v/>
      </c>
      <c r="K121" s="19" t="n"/>
      <c r="L121" s="19">
        <f>IF(J121="","",J121*N(K121))</f>
        <v/>
      </c>
    </row>
    <row r="122">
      <c r="A122" s="20" t="n"/>
      <c r="B122" s="21" t="n"/>
      <c r="C122" s="21" t="n"/>
      <c r="D122" s="28" t="n"/>
      <c r="E122" s="22" t="n"/>
      <c r="F122" s="23" t="n"/>
      <c r="G122" s="23" t="n"/>
      <c r="H122" s="23">
        <f>IF(F122="","",MAX(0,F122-N(G122)*N(E122)))</f>
        <v/>
      </c>
      <c r="I122" s="24" t="n">
        <v>0.52</v>
      </c>
      <c r="J122" s="25">
        <f>IF(H122="","",H122*N(I122)/15)</f>
        <v/>
      </c>
      <c r="K122" s="26" t="n"/>
      <c r="L122" s="26">
        <f>IF(J122="","",J122*N(K122))</f>
        <v/>
      </c>
    </row>
    <row r="123">
      <c r="A123" s="13" t="n"/>
      <c r="B123" s="14" t="n"/>
      <c r="C123" s="14" t="n"/>
      <c r="D123" s="27" t="n"/>
      <c r="E123" s="15" t="n"/>
      <c r="F123" s="16" t="n"/>
      <c r="G123" s="16" t="n"/>
      <c r="H123" s="16">
        <f>IF(F123="","",MAX(0,F123-N(G123)*N(E123)))</f>
        <v/>
      </c>
      <c r="I123" s="17" t="n">
        <v>0.52</v>
      </c>
      <c r="J123" s="18">
        <f>IF(H123="","",H123*N(I123)/15)</f>
        <v/>
      </c>
      <c r="K123" s="19" t="n"/>
      <c r="L123" s="19">
        <f>IF(J123="","",J123*N(K123))</f>
        <v/>
      </c>
    </row>
    <row r="124">
      <c r="A124" s="20" t="n"/>
      <c r="B124" s="21" t="n"/>
      <c r="C124" s="21" t="n"/>
      <c r="D124" s="28" t="n"/>
      <c r="E124" s="22" t="n"/>
      <c r="F124" s="23" t="n"/>
      <c r="G124" s="23" t="n"/>
      <c r="H124" s="23">
        <f>IF(F124="","",MAX(0,F124-N(G124)*N(E124)))</f>
        <v/>
      </c>
      <c r="I124" s="24" t="n">
        <v>0.52</v>
      </c>
      <c r="J124" s="25">
        <f>IF(H124="","",H124*N(I124)/15)</f>
        <v/>
      </c>
      <c r="K124" s="26" t="n"/>
      <c r="L124" s="26">
        <f>IF(J124="","",J124*N(K124))</f>
        <v/>
      </c>
    </row>
    <row r="125">
      <c r="A125" s="13" t="n"/>
      <c r="B125" s="14" t="n"/>
      <c r="C125" s="14" t="n"/>
      <c r="D125" s="27" t="n"/>
      <c r="E125" s="15" t="n"/>
      <c r="F125" s="16" t="n"/>
      <c r="G125" s="16" t="n"/>
      <c r="H125" s="16">
        <f>IF(F125="","",MAX(0,F125-N(G125)*N(E125)))</f>
        <v/>
      </c>
      <c r="I125" s="17" t="n">
        <v>0.52</v>
      </c>
      <c r="J125" s="18">
        <f>IF(H125="","",H125*N(I125)/15)</f>
        <v/>
      </c>
      <c r="K125" s="19" t="n"/>
      <c r="L125" s="19">
        <f>IF(J125="","",J125*N(K125))</f>
        <v/>
      </c>
    </row>
    <row r="126">
      <c r="A126" s="20" t="n"/>
      <c r="B126" s="21" t="n"/>
      <c r="C126" s="21" t="n"/>
      <c r="D126" s="28" t="n"/>
      <c r="E126" s="22" t="n"/>
      <c r="F126" s="23" t="n"/>
      <c r="G126" s="23" t="n"/>
      <c r="H126" s="23">
        <f>IF(F126="","",MAX(0,F126-N(G126)*N(E126)))</f>
        <v/>
      </c>
      <c r="I126" s="24" t="n">
        <v>0.52</v>
      </c>
      <c r="J126" s="25">
        <f>IF(H126="","",H126*N(I126)/15)</f>
        <v/>
      </c>
      <c r="K126" s="26" t="n"/>
      <c r="L126" s="26">
        <f>IF(J126="","",J126*N(K126))</f>
        <v/>
      </c>
    </row>
    <row r="127">
      <c r="A127" s="13" t="n"/>
      <c r="B127" s="14" t="n"/>
      <c r="C127" s="14" t="n"/>
      <c r="D127" s="27" t="n"/>
      <c r="E127" s="15" t="n"/>
      <c r="F127" s="16" t="n"/>
      <c r="G127" s="16" t="n"/>
      <c r="H127" s="16">
        <f>IF(F127="","",MAX(0,F127-N(G127)*N(E127)))</f>
        <v/>
      </c>
      <c r="I127" s="17" t="n">
        <v>0.52</v>
      </c>
      <c r="J127" s="18">
        <f>IF(H127="","",H127*N(I127)/15)</f>
        <v/>
      </c>
      <c r="K127" s="19" t="n"/>
      <c r="L127" s="19">
        <f>IF(J127="","",J127*N(K127))</f>
        <v/>
      </c>
    </row>
    <row r="128">
      <c r="A128" s="20" t="n"/>
      <c r="B128" s="21" t="n"/>
      <c r="C128" s="21" t="n"/>
      <c r="D128" s="28" t="n"/>
      <c r="E128" s="22" t="n"/>
      <c r="F128" s="23" t="n"/>
      <c r="G128" s="23" t="n"/>
      <c r="H128" s="23">
        <f>IF(F128="","",MAX(0,F128-N(G128)*N(E128)))</f>
        <v/>
      </c>
      <c r="I128" s="24" t="n">
        <v>0.52</v>
      </c>
      <c r="J128" s="25">
        <f>IF(H128="","",H128*N(I128)/15)</f>
        <v/>
      </c>
      <c r="K128" s="26" t="n"/>
      <c r="L128" s="26">
        <f>IF(J128="","",J128*N(K128))</f>
        <v/>
      </c>
    </row>
    <row r="129">
      <c r="A129" s="13" t="n"/>
      <c r="B129" s="14" t="n"/>
      <c r="C129" s="14" t="n"/>
      <c r="D129" s="27" t="n"/>
      <c r="E129" s="15" t="n"/>
      <c r="F129" s="16" t="n"/>
      <c r="G129" s="16" t="n"/>
      <c r="H129" s="16">
        <f>IF(F129="","",MAX(0,F129-N(G129)*N(E129)))</f>
        <v/>
      </c>
      <c r="I129" s="17" t="n">
        <v>0.52</v>
      </c>
      <c r="J129" s="18">
        <f>IF(H129="","",H129*N(I129)/15)</f>
        <v/>
      </c>
      <c r="K129" s="19" t="n"/>
      <c r="L129" s="19">
        <f>IF(J129="","",J129*N(K129))</f>
        <v/>
      </c>
    </row>
    <row r="130">
      <c r="A130" s="20" t="n"/>
      <c r="B130" s="21" t="n"/>
      <c r="C130" s="21" t="n"/>
      <c r="D130" s="28" t="n"/>
      <c r="E130" s="22" t="n"/>
      <c r="F130" s="23" t="n"/>
      <c r="G130" s="23" t="n"/>
      <c r="H130" s="23">
        <f>IF(F130="","",MAX(0,F130-N(G130)*N(E130)))</f>
        <v/>
      </c>
      <c r="I130" s="24" t="n">
        <v>0.52</v>
      </c>
      <c r="J130" s="25">
        <f>IF(H130="","",H130*N(I130)/15)</f>
        <v/>
      </c>
      <c r="K130" s="26" t="n"/>
      <c r="L130" s="26">
        <f>IF(J130="","",J130*N(K130))</f>
        <v/>
      </c>
    </row>
    <row r="131">
      <c r="A131" s="13" t="n"/>
      <c r="B131" s="14" t="n"/>
      <c r="C131" s="14" t="n"/>
      <c r="D131" s="27" t="n"/>
      <c r="E131" s="15" t="n"/>
      <c r="F131" s="16" t="n"/>
      <c r="G131" s="16" t="n"/>
      <c r="H131" s="16">
        <f>IF(F131="","",MAX(0,F131-N(G131)*N(E131)))</f>
        <v/>
      </c>
      <c r="I131" s="17" t="n">
        <v>0.52</v>
      </c>
      <c r="J131" s="18">
        <f>IF(H131="","",H131*N(I131)/15)</f>
        <v/>
      </c>
      <c r="K131" s="19" t="n"/>
      <c r="L131" s="19">
        <f>IF(J131="","",J131*N(K131))</f>
        <v/>
      </c>
    </row>
    <row r="132">
      <c r="A132" s="20" t="n"/>
      <c r="B132" s="21" t="n"/>
      <c r="C132" s="21" t="n"/>
      <c r="D132" s="28" t="n"/>
      <c r="E132" s="22" t="n"/>
      <c r="F132" s="23" t="n"/>
      <c r="G132" s="23" t="n"/>
      <c r="H132" s="23">
        <f>IF(F132="","",MAX(0,F132-N(G132)*N(E132)))</f>
        <v/>
      </c>
      <c r="I132" s="24" t="n">
        <v>0.52</v>
      </c>
      <c r="J132" s="25">
        <f>IF(H132="","",H132*N(I132)/15)</f>
        <v/>
      </c>
      <c r="K132" s="26" t="n"/>
      <c r="L132" s="26">
        <f>IF(J132="","",J132*N(K132))</f>
        <v/>
      </c>
    </row>
    <row r="133">
      <c r="A133" s="13" t="n"/>
      <c r="B133" s="14" t="n"/>
      <c r="C133" s="14" t="n"/>
      <c r="D133" s="27" t="n"/>
      <c r="E133" s="15" t="n"/>
      <c r="F133" s="16" t="n"/>
      <c r="G133" s="16" t="n"/>
      <c r="H133" s="16">
        <f>IF(F133="","",MAX(0,F133-N(G133)*N(E133)))</f>
        <v/>
      </c>
      <c r="I133" s="17" t="n">
        <v>0.52</v>
      </c>
      <c r="J133" s="18">
        <f>IF(H133="","",H133*N(I133)/15)</f>
        <v/>
      </c>
      <c r="K133" s="19" t="n"/>
      <c r="L133" s="19">
        <f>IF(J133="","",J133*N(K133))</f>
        <v/>
      </c>
    </row>
    <row r="134">
      <c r="A134" s="20" t="n"/>
      <c r="B134" s="21" t="n"/>
      <c r="C134" s="21" t="n"/>
      <c r="D134" s="28" t="n"/>
      <c r="E134" s="22" t="n"/>
      <c r="F134" s="23" t="n"/>
      <c r="G134" s="23" t="n"/>
      <c r="H134" s="23">
        <f>IF(F134="","",MAX(0,F134-N(G134)*N(E134)))</f>
        <v/>
      </c>
      <c r="I134" s="24" t="n">
        <v>0.52</v>
      </c>
      <c r="J134" s="25">
        <f>IF(H134="","",H134*N(I134)/15)</f>
        <v/>
      </c>
      <c r="K134" s="26" t="n"/>
      <c r="L134" s="26">
        <f>IF(J134="","",J134*N(K134))</f>
        <v/>
      </c>
    </row>
    <row r="135">
      <c r="A135" s="13" t="n"/>
      <c r="B135" s="14" t="n"/>
      <c r="C135" s="14" t="n"/>
      <c r="D135" s="27" t="n"/>
      <c r="E135" s="15" t="n"/>
      <c r="F135" s="16" t="n"/>
      <c r="G135" s="16" t="n"/>
      <c r="H135" s="16">
        <f>IF(F135="","",MAX(0,F135-N(G135)*N(E135)))</f>
        <v/>
      </c>
      <c r="I135" s="17" t="n">
        <v>0.52</v>
      </c>
      <c r="J135" s="18">
        <f>IF(H135="","",H135*N(I135)/15)</f>
        <v/>
      </c>
      <c r="K135" s="19" t="n"/>
      <c r="L135" s="19">
        <f>IF(J135="","",J135*N(K135))</f>
        <v/>
      </c>
    </row>
    <row r="136">
      <c r="A136" s="20" t="n"/>
      <c r="B136" s="21" t="n"/>
      <c r="C136" s="21" t="n"/>
      <c r="D136" s="28" t="n"/>
      <c r="E136" s="22" t="n"/>
      <c r="F136" s="23" t="n"/>
      <c r="G136" s="23" t="n"/>
      <c r="H136" s="23">
        <f>IF(F136="","",MAX(0,F136-N(G136)*N(E136)))</f>
        <v/>
      </c>
      <c r="I136" s="24" t="n">
        <v>0.52</v>
      </c>
      <c r="J136" s="25">
        <f>IF(H136="","",H136*N(I136)/15)</f>
        <v/>
      </c>
      <c r="K136" s="26" t="n"/>
      <c r="L136" s="26">
        <f>IF(J136="","",J136*N(K136))</f>
        <v/>
      </c>
    </row>
    <row r="137">
      <c r="A137" s="13" t="n"/>
      <c r="B137" s="14" t="n"/>
      <c r="C137" s="14" t="n"/>
      <c r="D137" s="27" t="n"/>
      <c r="E137" s="15" t="n"/>
      <c r="F137" s="16" t="n"/>
      <c r="G137" s="16" t="n"/>
      <c r="H137" s="16">
        <f>IF(F137="","",MAX(0,F137-N(G137)*N(E137)))</f>
        <v/>
      </c>
      <c r="I137" s="17" t="n">
        <v>0.52</v>
      </c>
      <c r="J137" s="18">
        <f>IF(H137="","",H137*N(I137)/15)</f>
        <v/>
      </c>
      <c r="K137" s="19" t="n"/>
      <c r="L137" s="19">
        <f>IF(J137="","",J137*N(K137))</f>
        <v/>
      </c>
    </row>
    <row r="138">
      <c r="A138" s="20" t="n"/>
      <c r="B138" s="21" t="n"/>
      <c r="C138" s="21" t="n"/>
      <c r="D138" s="28" t="n"/>
      <c r="E138" s="22" t="n"/>
      <c r="F138" s="23" t="n"/>
      <c r="G138" s="23" t="n"/>
      <c r="H138" s="23">
        <f>IF(F138="","",MAX(0,F138-N(G138)*N(E138)))</f>
        <v/>
      </c>
      <c r="I138" s="24" t="n">
        <v>0.52</v>
      </c>
      <c r="J138" s="25">
        <f>IF(H138="","",H138*N(I138)/15)</f>
        <v/>
      </c>
      <c r="K138" s="26" t="n"/>
      <c r="L138" s="26">
        <f>IF(J138="","",J138*N(K138))</f>
        <v/>
      </c>
    </row>
    <row r="139">
      <c r="A139" s="13" t="n"/>
      <c r="B139" s="14" t="n"/>
      <c r="C139" s="14" t="n"/>
      <c r="D139" s="27" t="n"/>
      <c r="E139" s="15" t="n"/>
      <c r="F139" s="16" t="n"/>
      <c r="G139" s="16" t="n"/>
      <c r="H139" s="16">
        <f>IF(F139="","",MAX(0,F139-N(G139)*N(E139)))</f>
        <v/>
      </c>
      <c r="I139" s="17" t="n">
        <v>0.52</v>
      </c>
      <c r="J139" s="18">
        <f>IF(H139="","",H139*N(I139)/15)</f>
        <v/>
      </c>
      <c r="K139" s="19" t="n"/>
      <c r="L139" s="19">
        <f>IF(J139="","",J139*N(K139))</f>
        <v/>
      </c>
    </row>
    <row r="140">
      <c r="A140" s="20" t="n"/>
      <c r="B140" s="21" t="n"/>
      <c r="C140" s="21" t="n"/>
      <c r="D140" s="28" t="n"/>
      <c r="E140" s="22" t="n"/>
      <c r="F140" s="23" t="n"/>
      <c r="G140" s="23" t="n"/>
      <c r="H140" s="23">
        <f>IF(F140="","",MAX(0,F140-N(G140)*N(E140)))</f>
        <v/>
      </c>
      <c r="I140" s="24" t="n">
        <v>0.52</v>
      </c>
      <c r="J140" s="25">
        <f>IF(H140="","",H140*N(I140)/15)</f>
        <v/>
      </c>
      <c r="K140" s="26" t="n"/>
      <c r="L140" s="26">
        <f>IF(J140="","",J140*N(K140))</f>
        <v/>
      </c>
    </row>
    <row r="141">
      <c r="A141" s="13" t="n"/>
      <c r="B141" s="14" t="n"/>
      <c r="C141" s="14" t="n"/>
      <c r="D141" s="27" t="n"/>
      <c r="E141" s="15" t="n"/>
      <c r="F141" s="16" t="n"/>
      <c r="G141" s="16" t="n"/>
      <c r="H141" s="16">
        <f>IF(F141="","",MAX(0,F141-N(G141)*N(E141)))</f>
        <v/>
      </c>
      <c r="I141" s="17" t="n">
        <v>0.52</v>
      </c>
      <c r="J141" s="18">
        <f>IF(H141="","",H141*N(I141)/15)</f>
        <v/>
      </c>
      <c r="K141" s="19" t="n"/>
      <c r="L141" s="19">
        <f>IF(J141="","",J141*N(K141))</f>
        <v/>
      </c>
    </row>
    <row r="142">
      <c r="A142" s="20" t="n"/>
      <c r="B142" s="21" t="n"/>
      <c r="C142" s="21" t="n"/>
      <c r="D142" s="28" t="n"/>
      <c r="E142" s="22" t="n"/>
      <c r="F142" s="23" t="n"/>
      <c r="G142" s="23" t="n"/>
      <c r="H142" s="23">
        <f>IF(F142="","",MAX(0,F142-N(G142)*N(E142)))</f>
        <v/>
      </c>
      <c r="I142" s="24" t="n">
        <v>0.52</v>
      </c>
      <c r="J142" s="25">
        <f>IF(H142="","",H142*N(I142)/15)</f>
        <v/>
      </c>
      <c r="K142" s="26" t="n"/>
      <c r="L142" s="26">
        <f>IF(J142="","",J142*N(K142))</f>
        <v/>
      </c>
    </row>
    <row r="143">
      <c r="A143" s="13" t="n"/>
      <c r="B143" s="14" t="n"/>
      <c r="C143" s="14" t="n"/>
      <c r="D143" s="27" t="n"/>
      <c r="E143" s="15" t="n"/>
      <c r="F143" s="16" t="n"/>
      <c r="G143" s="16" t="n"/>
      <c r="H143" s="16">
        <f>IF(F143="","",MAX(0,F143-N(G143)*N(E143)))</f>
        <v/>
      </c>
      <c r="I143" s="17" t="n">
        <v>0.52</v>
      </c>
      <c r="J143" s="18">
        <f>IF(H143="","",H143*N(I143)/15)</f>
        <v/>
      </c>
      <c r="K143" s="19" t="n"/>
      <c r="L143" s="19">
        <f>IF(J143="","",J143*N(K143))</f>
        <v/>
      </c>
    </row>
    <row r="144">
      <c r="A144" s="20" t="n"/>
      <c r="B144" s="21" t="n"/>
      <c r="C144" s="21" t="n"/>
      <c r="D144" s="28" t="n"/>
      <c r="E144" s="22" t="n"/>
      <c r="F144" s="23" t="n"/>
      <c r="G144" s="23" t="n"/>
      <c r="H144" s="23">
        <f>IF(F144="","",MAX(0,F144-N(G144)*N(E144)))</f>
        <v/>
      </c>
      <c r="I144" s="24" t="n">
        <v>0.52</v>
      </c>
      <c r="J144" s="25">
        <f>IF(H144="","",H144*N(I144)/15)</f>
        <v/>
      </c>
      <c r="K144" s="26" t="n"/>
      <c r="L144" s="26">
        <f>IF(J144="","",J144*N(K144))</f>
        <v/>
      </c>
    </row>
    <row r="145">
      <c r="A145" s="13" t="n"/>
      <c r="B145" s="14" t="n"/>
      <c r="C145" s="14" t="n"/>
      <c r="D145" s="27" t="n"/>
      <c r="E145" s="15" t="n"/>
      <c r="F145" s="16" t="n"/>
      <c r="G145" s="16" t="n"/>
      <c r="H145" s="16">
        <f>IF(F145="","",MAX(0,F145-N(G145)*N(E145)))</f>
        <v/>
      </c>
      <c r="I145" s="17" t="n">
        <v>0.52</v>
      </c>
      <c r="J145" s="18">
        <f>IF(H145="","",H145*N(I145)/15)</f>
        <v/>
      </c>
      <c r="K145" s="19" t="n"/>
      <c r="L145" s="19">
        <f>IF(J145="","",J145*N(K145))</f>
        <v/>
      </c>
    </row>
    <row r="146">
      <c r="A146" s="20" t="n"/>
      <c r="B146" s="21" t="n"/>
      <c r="C146" s="21" t="n"/>
      <c r="D146" s="28" t="n"/>
      <c r="E146" s="22" t="n"/>
      <c r="F146" s="23" t="n"/>
      <c r="G146" s="23" t="n"/>
      <c r="H146" s="23">
        <f>IF(F146="","",MAX(0,F146-N(G146)*N(E146)))</f>
        <v/>
      </c>
      <c r="I146" s="24" t="n">
        <v>0.52</v>
      </c>
      <c r="J146" s="25">
        <f>IF(H146="","",H146*N(I146)/15)</f>
        <v/>
      </c>
      <c r="K146" s="26" t="n"/>
      <c r="L146" s="26">
        <f>IF(J146="","",J146*N(K146))</f>
        <v/>
      </c>
    </row>
    <row r="147">
      <c r="A147" s="13" t="n"/>
      <c r="B147" s="14" t="n"/>
      <c r="C147" s="14" t="n"/>
      <c r="D147" s="27" t="n"/>
      <c r="E147" s="15" t="n"/>
      <c r="F147" s="16" t="n"/>
      <c r="G147" s="16" t="n"/>
      <c r="H147" s="16">
        <f>IF(F147="","",MAX(0,F147-N(G147)*N(E147)))</f>
        <v/>
      </c>
      <c r="I147" s="17" t="n">
        <v>0.52</v>
      </c>
      <c r="J147" s="18">
        <f>IF(H147="","",H147*N(I147)/15)</f>
        <v/>
      </c>
      <c r="K147" s="19" t="n"/>
      <c r="L147" s="19">
        <f>IF(J147="","",J147*N(K147))</f>
        <v/>
      </c>
    </row>
    <row r="148">
      <c r="A148" s="20" t="n"/>
      <c r="B148" s="21" t="n"/>
      <c r="C148" s="21" t="n"/>
      <c r="D148" s="28" t="n"/>
      <c r="E148" s="22" t="n"/>
      <c r="F148" s="23" t="n"/>
      <c r="G148" s="23" t="n"/>
      <c r="H148" s="23">
        <f>IF(F148="","",MAX(0,F148-N(G148)*N(E148)))</f>
        <v/>
      </c>
      <c r="I148" s="24" t="n">
        <v>0.52</v>
      </c>
      <c r="J148" s="25">
        <f>IF(H148="","",H148*N(I148)/15)</f>
        <v/>
      </c>
      <c r="K148" s="26" t="n"/>
      <c r="L148" s="26">
        <f>IF(J148="","",J148*N(K148))</f>
        <v/>
      </c>
    </row>
    <row r="149">
      <c r="A149" s="13" t="n"/>
      <c r="B149" s="14" t="n"/>
      <c r="C149" s="14" t="n"/>
      <c r="D149" s="27" t="n"/>
      <c r="E149" s="15" t="n"/>
      <c r="F149" s="16" t="n"/>
      <c r="G149" s="16" t="n"/>
      <c r="H149" s="16">
        <f>IF(F149="","",MAX(0,F149-N(G149)*N(E149)))</f>
        <v/>
      </c>
      <c r="I149" s="17" t="n">
        <v>0.52</v>
      </c>
      <c r="J149" s="18">
        <f>IF(H149="","",H149*N(I149)/15)</f>
        <v/>
      </c>
      <c r="K149" s="19" t="n"/>
      <c r="L149" s="19">
        <f>IF(J149="","",J149*N(K149))</f>
        <v/>
      </c>
    </row>
    <row r="150">
      <c r="A150" s="20" t="n"/>
      <c r="B150" s="21" t="n"/>
      <c r="C150" s="21" t="n"/>
      <c r="D150" s="28" t="n"/>
      <c r="E150" s="22" t="n"/>
      <c r="F150" s="23" t="n"/>
      <c r="G150" s="23" t="n"/>
      <c r="H150" s="23">
        <f>IF(F150="","",MAX(0,F150-N(G150)*N(E150)))</f>
        <v/>
      </c>
      <c r="I150" s="24" t="n">
        <v>0.52</v>
      </c>
      <c r="J150" s="25">
        <f>IF(H150="","",H150*N(I150)/15)</f>
        <v/>
      </c>
      <c r="K150" s="26" t="n"/>
      <c r="L150" s="26">
        <f>IF(J150="","",J150*N(K150))</f>
        <v/>
      </c>
    </row>
    <row r="151">
      <c r="A151" s="13" t="n"/>
      <c r="B151" s="14" t="n"/>
      <c r="C151" s="14" t="n"/>
      <c r="D151" s="27" t="n"/>
      <c r="E151" s="15" t="n"/>
      <c r="F151" s="16" t="n"/>
      <c r="G151" s="16" t="n"/>
      <c r="H151" s="16">
        <f>IF(F151="","",MAX(0,F151-N(G151)*N(E151)))</f>
        <v/>
      </c>
      <c r="I151" s="17" t="n">
        <v>0.52</v>
      </c>
      <c r="J151" s="18">
        <f>IF(H151="","",H151*N(I151)/15)</f>
        <v/>
      </c>
      <c r="K151" s="19" t="n"/>
      <c r="L151" s="19">
        <f>IF(J151="","",J151*N(K151))</f>
        <v/>
      </c>
    </row>
    <row r="152">
      <c r="A152" s="20" t="n"/>
      <c r="B152" s="21" t="n"/>
      <c r="C152" s="21" t="n"/>
      <c r="D152" s="28" t="n"/>
      <c r="E152" s="22" t="n"/>
      <c r="F152" s="23" t="n"/>
      <c r="G152" s="23" t="n"/>
      <c r="H152" s="23">
        <f>IF(F152="","",MAX(0,F152-N(G152)*N(E152)))</f>
        <v/>
      </c>
      <c r="I152" s="24" t="n">
        <v>0.52</v>
      </c>
      <c r="J152" s="25">
        <f>IF(H152="","",H152*N(I152)/15)</f>
        <v/>
      </c>
      <c r="K152" s="26" t="n"/>
      <c r="L152" s="26">
        <f>IF(J152="","",J152*N(K152))</f>
        <v/>
      </c>
    </row>
    <row r="153">
      <c r="A153" s="13" t="n"/>
      <c r="B153" s="14" t="n"/>
      <c r="C153" s="14" t="n"/>
      <c r="D153" s="27" t="n"/>
      <c r="E153" s="15" t="n"/>
      <c r="F153" s="16" t="n"/>
      <c r="G153" s="16" t="n"/>
      <c r="H153" s="16">
        <f>IF(F153="","",MAX(0,F153-N(G153)*N(E153)))</f>
        <v/>
      </c>
      <c r="I153" s="17" t="n">
        <v>0.52</v>
      </c>
      <c r="J153" s="18">
        <f>IF(H153="","",H153*N(I153)/15)</f>
        <v/>
      </c>
      <c r="K153" s="19" t="n"/>
      <c r="L153" s="19">
        <f>IF(J153="","",J153*N(K153))</f>
        <v/>
      </c>
    </row>
    <row r="154">
      <c r="A154" s="20" t="n"/>
      <c r="B154" s="21" t="n"/>
      <c r="C154" s="21" t="n"/>
      <c r="D154" s="28" t="n"/>
      <c r="E154" s="22" t="n"/>
      <c r="F154" s="23" t="n"/>
      <c r="G154" s="23" t="n"/>
      <c r="H154" s="23">
        <f>IF(F154="","",MAX(0,F154-N(G154)*N(E154)))</f>
        <v/>
      </c>
      <c r="I154" s="24" t="n">
        <v>0.52</v>
      </c>
      <c r="J154" s="25">
        <f>IF(H154="","",H154*N(I154)/15)</f>
        <v/>
      </c>
      <c r="K154" s="26" t="n"/>
      <c r="L154" s="26">
        <f>IF(J154="","",J154*N(K154))</f>
        <v/>
      </c>
    </row>
    <row r="155">
      <c r="A155" s="13" t="n"/>
      <c r="B155" s="14" t="n"/>
      <c r="C155" s="14" t="n"/>
      <c r="D155" s="27" t="n"/>
      <c r="E155" s="15" t="n"/>
      <c r="F155" s="16" t="n"/>
      <c r="G155" s="16" t="n"/>
      <c r="H155" s="16">
        <f>IF(F155="","",MAX(0,F155-N(G155)*N(E155)))</f>
        <v/>
      </c>
      <c r="I155" s="17" t="n">
        <v>0.52</v>
      </c>
      <c r="J155" s="18">
        <f>IF(H155="","",H155*N(I155)/15)</f>
        <v/>
      </c>
      <c r="K155" s="19" t="n"/>
      <c r="L155" s="19">
        <f>IF(J155="","",J155*N(K155))</f>
        <v/>
      </c>
    </row>
    <row r="156">
      <c r="A156" s="20" t="n"/>
      <c r="B156" s="21" t="n"/>
      <c r="C156" s="21" t="n"/>
      <c r="D156" s="28" t="n"/>
      <c r="E156" s="22" t="n"/>
      <c r="F156" s="23" t="n"/>
      <c r="G156" s="23" t="n"/>
      <c r="H156" s="23">
        <f>IF(F156="","",MAX(0,F156-N(G156)*N(E156)))</f>
        <v/>
      </c>
      <c r="I156" s="24" t="n">
        <v>0.52</v>
      </c>
      <c r="J156" s="25">
        <f>IF(H156="","",H156*N(I156)/15)</f>
        <v/>
      </c>
      <c r="K156" s="26" t="n"/>
      <c r="L156" s="26">
        <f>IF(J156="","",J156*N(K156))</f>
        <v/>
      </c>
    </row>
    <row r="157">
      <c r="A157" s="13" t="n"/>
      <c r="B157" s="14" t="n"/>
      <c r="C157" s="14" t="n"/>
      <c r="D157" s="27" t="n"/>
      <c r="E157" s="15" t="n"/>
      <c r="F157" s="16" t="n"/>
      <c r="G157" s="16" t="n"/>
      <c r="H157" s="16">
        <f>IF(F157="","",MAX(0,F157-N(G157)*N(E157)))</f>
        <v/>
      </c>
      <c r="I157" s="17" t="n">
        <v>0.52</v>
      </c>
      <c r="J157" s="18">
        <f>IF(H157="","",H157*N(I157)/15)</f>
        <v/>
      </c>
      <c r="K157" s="19" t="n"/>
      <c r="L157" s="19">
        <f>IF(J157="","",J157*N(K157))</f>
        <v/>
      </c>
    </row>
    <row r="158">
      <c r="A158" s="20" t="n"/>
      <c r="B158" s="21" t="n"/>
      <c r="C158" s="21" t="n"/>
      <c r="D158" s="28" t="n"/>
      <c r="E158" s="22" t="n"/>
      <c r="F158" s="23" t="n"/>
      <c r="G158" s="23" t="n"/>
      <c r="H158" s="23">
        <f>IF(F158="","",MAX(0,F158-N(G158)*N(E158)))</f>
        <v/>
      </c>
      <c r="I158" s="24" t="n">
        <v>0.52</v>
      </c>
      <c r="J158" s="25">
        <f>IF(H158="","",H158*N(I158)/15)</f>
        <v/>
      </c>
      <c r="K158" s="26" t="n"/>
      <c r="L158" s="26">
        <f>IF(J158="","",J158*N(K158))</f>
        <v/>
      </c>
    </row>
    <row r="159">
      <c r="A159" s="13" t="n"/>
      <c r="B159" s="14" t="n"/>
      <c r="C159" s="14" t="n"/>
      <c r="D159" s="27" t="n"/>
      <c r="E159" s="15" t="n"/>
      <c r="F159" s="16" t="n"/>
      <c r="G159" s="16" t="n"/>
      <c r="H159" s="16">
        <f>IF(F159="","",MAX(0,F159-N(G159)*N(E159)))</f>
        <v/>
      </c>
      <c r="I159" s="17" t="n">
        <v>0.52</v>
      </c>
      <c r="J159" s="18">
        <f>IF(H159="","",H159*N(I159)/15)</f>
        <v/>
      </c>
      <c r="K159" s="19" t="n"/>
      <c r="L159" s="19">
        <f>IF(J159="","",J159*N(K159))</f>
        <v/>
      </c>
    </row>
    <row r="160">
      <c r="A160" s="20" t="n"/>
      <c r="B160" s="21" t="n"/>
      <c r="C160" s="21" t="n"/>
      <c r="D160" s="28" t="n"/>
      <c r="E160" s="22" t="n"/>
      <c r="F160" s="23" t="n"/>
      <c r="G160" s="23" t="n"/>
      <c r="H160" s="23">
        <f>IF(F160="","",MAX(0,F160-N(G160)*N(E160)))</f>
        <v/>
      </c>
      <c r="I160" s="24" t="n">
        <v>0.52</v>
      </c>
      <c r="J160" s="25">
        <f>IF(H160="","",H160*N(I160)/15)</f>
        <v/>
      </c>
      <c r="K160" s="26" t="n"/>
      <c r="L160" s="26">
        <f>IF(J160="","",J160*N(K160))</f>
        <v/>
      </c>
    </row>
    <row r="161">
      <c r="A161" s="13" t="n"/>
      <c r="B161" s="14" t="n"/>
      <c r="C161" s="14" t="n"/>
      <c r="D161" s="27" t="n"/>
      <c r="E161" s="15" t="n"/>
      <c r="F161" s="16" t="n"/>
      <c r="G161" s="16" t="n"/>
      <c r="H161" s="16">
        <f>IF(F161="","",MAX(0,F161-N(G161)*N(E161)))</f>
        <v/>
      </c>
      <c r="I161" s="17" t="n">
        <v>0.52</v>
      </c>
      <c r="J161" s="18">
        <f>IF(H161="","",H161*N(I161)/15)</f>
        <v/>
      </c>
      <c r="K161" s="19" t="n"/>
      <c r="L161" s="19">
        <f>IF(J161="","",J161*N(K161))</f>
        <v/>
      </c>
    </row>
    <row r="162">
      <c r="A162" s="20" t="n"/>
      <c r="B162" s="21" t="n"/>
      <c r="C162" s="21" t="n"/>
      <c r="D162" s="28" t="n"/>
      <c r="E162" s="22" t="n"/>
      <c r="F162" s="23" t="n"/>
      <c r="G162" s="23" t="n"/>
      <c r="H162" s="23">
        <f>IF(F162="","",MAX(0,F162-N(G162)*N(E162)))</f>
        <v/>
      </c>
      <c r="I162" s="24" t="n">
        <v>0.52</v>
      </c>
      <c r="J162" s="25">
        <f>IF(H162="","",H162*N(I162)/15)</f>
        <v/>
      </c>
      <c r="K162" s="26" t="n"/>
      <c r="L162" s="26">
        <f>IF(J162="","",J162*N(K162))</f>
        <v/>
      </c>
    </row>
    <row r="163">
      <c r="A163" s="13" t="n"/>
      <c r="B163" s="14" t="n"/>
      <c r="C163" s="14" t="n"/>
      <c r="D163" s="27" t="n"/>
      <c r="E163" s="15" t="n"/>
      <c r="F163" s="16" t="n"/>
      <c r="G163" s="16" t="n"/>
      <c r="H163" s="16">
        <f>IF(F163="","",MAX(0,F163-N(G163)*N(E163)))</f>
        <v/>
      </c>
      <c r="I163" s="17" t="n">
        <v>0.52</v>
      </c>
      <c r="J163" s="18">
        <f>IF(H163="","",H163*N(I163)/15)</f>
        <v/>
      </c>
      <c r="K163" s="19" t="n"/>
      <c r="L163" s="19">
        <f>IF(J163="","",J163*N(K163))</f>
        <v/>
      </c>
    </row>
    <row r="164">
      <c r="A164" s="20" t="n"/>
      <c r="B164" s="21" t="n"/>
      <c r="C164" s="21" t="n"/>
      <c r="D164" s="28" t="n"/>
      <c r="E164" s="22" t="n"/>
      <c r="F164" s="23" t="n"/>
      <c r="G164" s="23" t="n"/>
      <c r="H164" s="23">
        <f>IF(F164="","",MAX(0,F164-N(G164)*N(E164)))</f>
        <v/>
      </c>
      <c r="I164" s="24" t="n">
        <v>0.52</v>
      </c>
      <c r="J164" s="25">
        <f>IF(H164="","",H164*N(I164)/15)</f>
        <v/>
      </c>
      <c r="K164" s="26" t="n"/>
      <c r="L164" s="26">
        <f>IF(J164="","",J164*N(K164))</f>
        <v/>
      </c>
    </row>
    <row r="165">
      <c r="A165" s="13" t="n"/>
      <c r="B165" s="14" t="n"/>
      <c r="C165" s="14" t="n"/>
      <c r="D165" s="27" t="n"/>
      <c r="E165" s="15" t="n"/>
      <c r="F165" s="16" t="n"/>
      <c r="G165" s="16" t="n"/>
      <c r="H165" s="16">
        <f>IF(F165="","",MAX(0,F165-N(G165)*N(E165)))</f>
        <v/>
      </c>
      <c r="I165" s="17" t="n">
        <v>0.52</v>
      </c>
      <c r="J165" s="18">
        <f>IF(H165="","",H165*N(I165)/15)</f>
        <v/>
      </c>
      <c r="K165" s="19" t="n"/>
      <c r="L165" s="19">
        <f>IF(J165="","",J165*N(K165))</f>
        <v/>
      </c>
    </row>
    <row r="166">
      <c r="A166" s="20" t="n"/>
      <c r="B166" s="21" t="n"/>
      <c r="C166" s="21" t="n"/>
      <c r="D166" s="28" t="n"/>
      <c r="E166" s="22" t="n"/>
      <c r="F166" s="23" t="n"/>
      <c r="G166" s="23" t="n"/>
      <c r="H166" s="23">
        <f>IF(F166="","",MAX(0,F166-N(G166)*N(E166)))</f>
        <v/>
      </c>
      <c r="I166" s="24" t="n">
        <v>0.52</v>
      </c>
      <c r="J166" s="25">
        <f>IF(H166="","",H166*N(I166)/15)</f>
        <v/>
      </c>
      <c r="K166" s="26" t="n"/>
      <c r="L166" s="26">
        <f>IF(J166="","",J166*N(K166))</f>
        <v/>
      </c>
    </row>
    <row r="167">
      <c r="A167" s="13" t="n"/>
      <c r="B167" s="14" t="n"/>
      <c r="C167" s="14" t="n"/>
      <c r="D167" s="27" t="n"/>
      <c r="E167" s="15" t="n"/>
      <c r="F167" s="16" t="n"/>
      <c r="G167" s="16" t="n"/>
      <c r="H167" s="16">
        <f>IF(F167="","",MAX(0,F167-N(G167)*N(E167)))</f>
        <v/>
      </c>
      <c r="I167" s="17" t="n">
        <v>0.52</v>
      </c>
      <c r="J167" s="18">
        <f>IF(H167="","",H167*N(I167)/15)</f>
        <v/>
      </c>
      <c r="K167" s="19" t="n"/>
      <c r="L167" s="19">
        <f>IF(J167="","",J167*N(K167))</f>
        <v/>
      </c>
    </row>
    <row r="168">
      <c r="A168" s="20" t="n"/>
      <c r="B168" s="21" t="n"/>
      <c r="C168" s="21" t="n"/>
      <c r="D168" s="28" t="n"/>
      <c r="E168" s="22" t="n"/>
      <c r="F168" s="23" t="n"/>
      <c r="G168" s="23" t="n"/>
      <c r="H168" s="23">
        <f>IF(F168="","",MAX(0,F168-N(G168)*N(E168)))</f>
        <v/>
      </c>
      <c r="I168" s="24" t="n">
        <v>0.52</v>
      </c>
      <c r="J168" s="25">
        <f>IF(H168="","",H168*N(I168)/15)</f>
        <v/>
      </c>
      <c r="K168" s="26" t="n"/>
      <c r="L168" s="26">
        <f>IF(J168="","",J168*N(K168))</f>
        <v/>
      </c>
    </row>
    <row r="169">
      <c r="A169" s="13" t="n"/>
      <c r="B169" s="14" t="n"/>
      <c r="C169" s="14" t="n"/>
      <c r="D169" s="27" t="n"/>
      <c r="E169" s="15" t="n"/>
      <c r="F169" s="16" t="n"/>
      <c r="G169" s="16" t="n"/>
      <c r="H169" s="16">
        <f>IF(F169="","",MAX(0,F169-N(G169)*N(E169)))</f>
        <v/>
      </c>
      <c r="I169" s="17" t="n">
        <v>0.52</v>
      </c>
      <c r="J169" s="18">
        <f>IF(H169="","",H169*N(I169)/15)</f>
        <v/>
      </c>
      <c r="K169" s="19" t="n"/>
      <c r="L169" s="19">
        <f>IF(J169="","",J169*N(K169))</f>
        <v/>
      </c>
    </row>
    <row r="170">
      <c r="A170" s="20" t="n"/>
      <c r="B170" s="21" t="n"/>
      <c r="C170" s="21" t="n"/>
      <c r="D170" s="28" t="n"/>
      <c r="E170" s="22" t="n"/>
      <c r="F170" s="23" t="n"/>
      <c r="G170" s="23" t="n"/>
      <c r="H170" s="23">
        <f>IF(F170="","",MAX(0,F170-N(G170)*N(E170)))</f>
        <v/>
      </c>
      <c r="I170" s="24" t="n">
        <v>0.52</v>
      </c>
      <c r="J170" s="25">
        <f>IF(H170="","",H170*N(I170)/15)</f>
        <v/>
      </c>
      <c r="K170" s="26" t="n"/>
      <c r="L170" s="26">
        <f>IF(J170="","",J170*N(K170))</f>
        <v/>
      </c>
    </row>
    <row r="171">
      <c r="A171" s="13" t="n"/>
      <c r="B171" s="14" t="n"/>
      <c r="C171" s="14" t="n"/>
      <c r="D171" s="27" t="n"/>
      <c r="E171" s="15" t="n"/>
      <c r="F171" s="16" t="n"/>
      <c r="G171" s="16" t="n"/>
      <c r="H171" s="16">
        <f>IF(F171="","",MAX(0,F171-N(G171)*N(E171)))</f>
        <v/>
      </c>
      <c r="I171" s="17" t="n">
        <v>0.52</v>
      </c>
      <c r="J171" s="18">
        <f>IF(H171="","",H171*N(I171)/15)</f>
        <v/>
      </c>
      <c r="K171" s="19" t="n"/>
      <c r="L171" s="19">
        <f>IF(J171="","",J171*N(K171))</f>
        <v/>
      </c>
    </row>
    <row r="172">
      <c r="A172" s="20" t="n"/>
      <c r="B172" s="21" t="n"/>
      <c r="C172" s="21" t="n"/>
      <c r="D172" s="28" t="n"/>
      <c r="E172" s="22" t="n"/>
      <c r="F172" s="23" t="n"/>
      <c r="G172" s="23" t="n"/>
      <c r="H172" s="23">
        <f>IF(F172="","",MAX(0,F172-N(G172)*N(E172)))</f>
        <v/>
      </c>
      <c r="I172" s="24" t="n">
        <v>0.52</v>
      </c>
      <c r="J172" s="25">
        <f>IF(H172="","",H172*N(I172)/15)</f>
        <v/>
      </c>
      <c r="K172" s="26" t="n"/>
      <c r="L172" s="26">
        <f>IF(J172="","",J172*N(K172))</f>
        <v/>
      </c>
    </row>
    <row r="173">
      <c r="A173" s="13" t="n"/>
      <c r="B173" s="14" t="n"/>
      <c r="C173" s="14" t="n"/>
      <c r="D173" s="27" t="n"/>
      <c r="E173" s="15" t="n"/>
      <c r="F173" s="16" t="n"/>
      <c r="G173" s="16" t="n"/>
      <c r="H173" s="16">
        <f>IF(F173="","",MAX(0,F173-N(G173)*N(E173)))</f>
        <v/>
      </c>
      <c r="I173" s="17" t="n">
        <v>0.52</v>
      </c>
      <c r="J173" s="18">
        <f>IF(H173="","",H173*N(I173)/15)</f>
        <v/>
      </c>
      <c r="K173" s="19" t="n"/>
      <c r="L173" s="19">
        <f>IF(J173="","",J173*N(K173))</f>
        <v/>
      </c>
    </row>
    <row r="174">
      <c r="A174" s="20" t="n"/>
      <c r="B174" s="21" t="n"/>
      <c r="C174" s="21" t="n"/>
      <c r="D174" s="28" t="n"/>
      <c r="E174" s="22" t="n"/>
      <c r="F174" s="23" t="n"/>
      <c r="G174" s="23" t="n"/>
      <c r="H174" s="23">
        <f>IF(F174="","",MAX(0,F174-N(G174)*N(E174)))</f>
        <v/>
      </c>
      <c r="I174" s="24" t="n">
        <v>0.52</v>
      </c>
      <c r="J174" s="25">
        <f>IF(H174="","",H174*N(I174)/15)</f>
        <v/>
      </c>
      <c r="K174" s="26" t="n"/>
      <c r="L174" s="26">
        <f>IF(J174="","",J174*N(K174))</f>
        <v/>
      </c>
    </row>
    <row r="175">
      <c r="A175" s="13" t="n"/>
      <c r="B175" s="14" t="n"/>
      <c r="C175" s="14" t="n"/>
      <c r="D175" s="27" t="n"/>
      <c r="E175" s="15" t="n"/>
      <c r="F175" s="16" t="n"/>
      <c r="G175" s="16" t="n"/>
      <c r="H175" s="16">
        <f>IF(F175="","",MAX(0,F175-N(G175)*N(E175)))</f>
        <v/>
      </c>
      <c r="I175" s="17" t="n">
        <v>0.52</v>
      </c>
      <c r="J175" s="18">
        <f>IF(H175="","",H175*N(I175)/15)</f>
        <v/>
      </c>
      <c r="K175" s="19" t="n"/>
      <c r="L175" s="19">
        <f>IF(J175="","",J175*N(K175))</f>
        <v/>
      </c>
    </row>
    <row r="176">
      <c r="A176" s="20" t="n"/>
      <c r="B176" s="21" t="n"/>
      <c r="C176" s="21" t="n"/>
      <c r="D176" s="28" t="n"/>
      <c r="E176" s="22" t="n"/>
      <c r="F176" s="23" t="n"/>
      <c r="G176" s="23" t="n"/>
      <c r="H176" s="23">
        <f>IF(F176="","",MAX(0,F176-N(G176)*N(E176)))</f>
        <v/>
      </c>
      <c r="I176" s="24" t="n">
        <v>0.52</v>
      </c>
      <c r="J176" s="25">
        <f>IF(H176="","",H176*N(I176)/15)</f>
        <v/>
      </c>
      <c r="K176" s="26" t="n"/>
      <c r="L176" s="26">
        <f>IF(J176="","",J176*N(K176))</f>
        <v/>
      </c>
    </row>
    <row r="177">
      <c r="A177" s="13" t="n"/>
      <c r="B177" s="14" t="n"/>
      <c r="C177" s="14" t="n"/>
      <c r="D177" s="27" t="n"/>
      <c r="E177" s="15" t="n"/>
      <c r="F177" s="16" t="n"/>
      <c r="G177" s="16" t="n"/>
      <c r="H177" s="16">
        <f>IF(F177="","",MAX(0,F177-N(G177)*N(E177)))</f>
        <v/>
      </c>
      <c r="I177" s="17" t="n">
        <v>0.52</v>
      </c>
      <c r="J177" s="18">
        <f>IF(H177="","",H177*N(I177)/15)</f>
        <v/>
      </c>
      <c r="K177" s="19" t="n"/>
      <c r="L177" s="19">
        <f>IF(J177="","",J177*N(K177))</f>
        <v/>
      </c>
    </row>
    <row r="178">
      <c r="A178" s="20" t="n"/>
      <c r="B178" s="21" t="n"/>
      <c r="C178" s="21" t="n"/>
      <c r="D178" s="28" t="n"/>
      <c r="E178" s="22" t="n"/>
      <c r="F178" s="23" t="n"/>
      <c r="G178" s="23" t="n"/>
      <c r="H178" s="23">
        <f>IF(F178="","",MAX(0,F178-N(G178)*N(E178)))</f>
        <v/>
      </c>
      <c r="I178" s="24" t="n">
        <v>0.52</v>
      </c>
      <c r="J178" s="25">
        <f>IF(H178="","",H178*N(I178)/15)</f>
        <v/>
      </c>
      <c r="K178" s="26" t="n"/>
      <c r="L178" s="26">
        <f>IF(J178="","",J178*N(K178))</f>
        <v/>
      </c>
    </row>
    <row r="179">
      <c r="A179" s="13" t="n"/>
      <c r="B179" s="14" t="n"/>
      <c r="C179" s="14" t="n"/>
      <c r="D179" s="27" t="n"/>
      <c r="E179" s="15" t="n"/>
      <c r="F179" s="16" t="n"/>
      <c r="G179" s="16" t="n"/>
      <c r="H179" s="16">
        <f>IF(F179="","",MAX(0,F179-N(G179)*N(E179)))</f>
        <v/>
      </c>
      <c r="I179" s="17" t="n">
        <v>0.52</v>
      </c>
      <c r="J179" s="18">
        <f>IF(H179="","",H179*N(I179)/15)</f>
        <v/>
      </c>
      <c r="K179" s="19" t="n"/>
      <c r="L179" s="19">
        <f>IF(J179="","",J179*N(K179))</f>
        <v/>
      </c>
    </row>
    <row r="180">
      <c r="A180" s="20" t="n"/>
      <c r="B180" s="21" t="n"/>
      <c r="C180" s="21" t="n"/>
      <c r="D180" s="28" t="n"/>
      <c r="E180" s="22" t="n"/>
      <c r="F180" s="23" t="n"/>
      <c r="G180" s="23" t="n"/>
      <c r="H180" s="23">
        <f>IF(F180="","",MAX(0,F180-N(G180)*N(E180)))</f>
        <v/>
      </c>
      <c r="I180" s="24" t="n">
        <v>0.52</v>
      </c>
      <c r="J180" s="25">
        <f>IF(H180="","",H180*N(I180)/15)</f>
        <v/>
      </c>
      <c r="K180" s="26" t="n"/>
      <c r="L180" s="26">
        <f>IF(J180="","",J180*N(K180))</f>
        <v/>
      </c>
    </row>
    <row r="181">
      <c r="A181" s="13" t="n"/>
      <c r="B181" s="14" t="n"/>
      <c r="C181" s="14" t="n"/>
      <c r="D181" s="27" t="n"/>
      <c r="E181" s="15" t="n"/>
      <c r="F181" s="16" t="n"/>
      <c r="G181" s="16" t="n"/>
      <c r="H181" s="16">
        <f>IF(F181="","",MAX(0,F181-N(G181)*N(E181)))</f>
        <v/>
      </c>
      <c r="I181" s="17" t="n">
        <v>0.52</v>
      </c>
      <c r="J181" s="18">
        <f>IF(H181="","",H181*N(I181)/15)</f>
        <v/>
      </c>
      <c r="K181" s="19" t="n"/>
      <c r="L181" s="19">
        <f>IF(J181="","",J181*N(K181))</f>
        <v/>
      </c>
    </row>
    <row r="182">
      <c r="A182" s="20" t="n"/>
      <c r="B182" s="21" t="n"/>
      <c r="C182" s="21" t="n"/>
      <c r="D182" s="28" t="n"/>
      <c r="E182" s="22" t="n"/>
      <c r="F182" s="23" t="n"/>
      <c r="G182" s="23" t="n"/>
      <c r="H182" s="23">
        <f>IF(F182="","",MAX(0,F182-N(G182)*N(E182)))</f>
        <v/>
      </c>
      <c r="I182" s="24" t="n">
        <v>0.52</v>
      </c>
      <c r="J182" s="25">
        <f>IF(H182="","",H182*N(I182)/15)</f>
        <v/>
      </c>
      <c r="K182" s="26" t="n"/>
      <c r="L182" s="26">
        <f>IF(J182="","",J182*N(K182))</f>
        <v/>
      </c>
    </row>
    <row r="183">
      <c r="A183" s="13" t="n"/>
      <c r="B183" s="14" t="n"/>
      <c r="C183" s="14" t="n"/>
      <c r="D183" s="27" t="n"/>
      <c r="E183" s="15" t="n"/>
      <c r="F183" s="16" t="n"/>
      <c r="G183" s="16" t="n"/>
      <c r="H183" s="16">
        <f>IF(F183="","",MAX(0,F183-N(G183)*N(E183)))</f>
        <v/>
      </c>
      <c r="I183" s="17" t="n">
        <v>0.52</v>
      </c>
      <c r="J183" s="18">
        <f>IF(H183="","",H183*N(I183)/15)</f>
        <v/>
      </c>
      <c r="K183" s="19" t="n"/>
      <c r="L183" s="19">
        <f>IF(J183="","",J183*N(K183))</f>
        <v/>
      </c>
    </row>
    <row r="184">
      <c r="A184" s="20" t="n"/>
      <c r="B184" s="21" t="n"/>
      <c r="C184" s="21" t="n"/>
      <c r="D184" s="28" t="n"/>
      <c r="E184" s="22" t="n"/>
      <c r="F184" s="23" t="n"/>
      <c r="G184" s="23" t="n"/>
      <c r="H184" s="23">
        <f>IF(F184="","",MAX(0,F184-N(G184)*N(E184)))</f>
        <v/>
      </c>
      <c r="I184" s="24" t="n">
        <v>0.52</v>
      </c>
      <c r="J184" s="25">
        <f>IF(H184="","",H184*N(I184)/15)</f>
        <v/>
      </c>
      <c r="K184" s="26" t="n"/>
      <c r="L184" s="26">
        <f>IF(J184="","",J184*N(K184))</f>
        <v/>
      </c>
    </row>
    <row r="185">
      <c r="A185" s="13" t="n"/>
      <c r="B185" s="14" t="n"/>
      <c r="C185" s="14" t="n"/>
      <c r="D185" s="27" t="n"/>
      <c r="E185" s="15" t="n"/>
      <c r="F185" s="16" t="n"/>
      <c r="G185" s="16" t="n"/>
      <c r="H185" s="16">
        <f>IF(F185="","",MAX(0,F185-N(G185)*N(E185)))</f>
        <v/>
      </c>
      <c r="I185" s="17" t="n">
        <v>0.52</v>
      </c>
      <c r="J185" s="18">
        <f>IF(H185="","",H185*N(I185)/15)</f>
        <v/>
      </c>
      <c r="K185" s="19" t="n"/>
      <c r="L185" s="19">
        <f>IF(J185="","",J185*N(K185))</f>
        <v/>
      </c>
    </row>
    <row r="186">
      <c r="A186" s="20" t="n"/>
      <c r="B186" s="21" t="n"/>
      <c r="C186" s="21" t="n"/>
      <c r="D186" s="28" t="n"/>
      <c r="E186" s="22" t="n"/>
      <c r="F186" s="23" t="n"/>
      <c r="G186" s="23" t="n"/>
      <c r="H186" s="23">
        <f>IF(F186="","",MAX(0,F186-N(G186)*N(E186)))</f>
        <v/>
      </c>
      <c r="I186" s="24" t="n">
        <v>0.52</v>
      </c>
      <c r="J186" s="25">
        <f>IF(H186="","",H186*N(I186)/15)</f>
        <v/>
      </c>
      <c r="K186" s="26" t="n"/>
      <c r="L186" s="26">
        <f>IF(J186="","",J186*N(K186))</f>
        <v/>
      </c>
    </row>
    <row r="187">
      <c r="A187" s="13" t="n"/>
      <c r="B187" s="14" t="n"/>
      <c r="C187" s="14" t="n"/>
      <c r="D187" s="27" t="n"/>
      <c r="E187" s="15" t="n"/>
      <c r="F187" s="16" t="n"/>
      <c r="G187" s="16" t="n"/>
      <c r="H187" s="16">
        <f>IF(F187="","",MAX(0,F187-N(G187)*N(E187)))</f>
        <v/>
      </c>
      <c r="I187" s="17" t="n">
        <v>0.52</v>
      </c>
      <c r="J187" s="18">
        <f>IF(H187="","",H187*N(I187)/15)</f>
        <v/>
      </c>
      <c r="K187" s="19" t="n"/>
      <c r="L187" s="19">
        <f>IF(J187="","",J187*N(K187))</f>
        <v/>
      </c>
    </row>
    <row r="188">
      <c r="A188" s="20" t="n"/>
      <c r="B188" s="21" t="n"/>
      <c r="C188" s="21" t="n"/>
      <c r="D188" s="28" t="n"/>
      <c r="E188" s="22" t="n"/>
      <c r="F188" s="23" t="n"/>
      <c r="G188" s="23" t="n"/>
      <c r="H188" s="23">
        <f>IF(F188="","",MAX(0,F188-N(G188)*N(E188)))</f>
        <v/>
      </c>
      <c r="I188" s="24" t="n">
        <v>0.52</v>
      </c>
      <c r="J188" s="25">
        <f>IF(H188="","",H188*N(I188)/15)</f>
        <v/>
      </c>
      <c r="K188" s="26" t="n"/>
      <c r="L188" s="26">
        <f>IF(J188="","",J188*N(K188))</f>
        <v/>
      </c>
    </row>
    <row r="189">
      <c r="A189" s="13" t="n"/>
      <c r="B189" s="14" t="n"/>
      <c r="C189" s="14" t="n"/>
      <c r="D189" s="27" t="n"/>
      <c r="E189" s="15" t="n"/>
      <c r="F189" s="16" t="n"/>
      <c r="G189" s="16" t="n"/>
      <c r="H189" s="16">
        <f>IF(F189="","",MAX(0,F189-N(G189)*N(E189)))</f>
        <v/>
      </c>
      <c r="I189" s="17" t="n">
        <v>0.52</v>
      </c>
      <c r="J189" s="18">
        <f>IF(H189="","",H189*N(I189)/15)</f>
        <v/>
      </c>
      <c r="K189" s="19" t="n"/>
      <c r="L189" s="19">
        <f>IF(J189="","",J189*N(K189))</f>
        <v/>
      </c>
    </row>
    <row r="190">
      <c r="A190" s="20" t="n"/>
      <c r="B190" s="21" t="n"/>
      <c r="C190" s="21" t="n"/>
      <c r="D190" s="28" t="n"/>
      <c r="E190" s="22" t="n"/>
      <c r="F190" s="23" t="n"/>
      <c r="G190" s="23" t="n"/>
      <c r="H190" s="23">
        <f>IF(F190="","",MAX(0,F190-N(G190)*N(E190)))</f>
        <v/>
      </c>
      <c r="I190" s="24" t="n">
        <v>0.52</v>
      </c>
      <c r="J190" s="25">
        <f>IF(H190="","",H190*N(I190)/15)</f>
        <v/>
      </c>
      <c r="K190" s="26" t="n"/>
      <c r="L190" s="26">
        <f>IF(J190="","",J190*N(K190))</f>
        <v/>
      </c>
    </row>
    <row r="191">
      <c r="A191" s="13" t="n"/>
      <c r="B191" s="14" t="n"/>
      <c r="C191" s="14" t="n"/>
      <c r="D191" s="27" t="n"/>
      <c r="E191" s="15" t="n"/>
      <c r="F191" s="16" t="n"/>
      <c r="G191" s="16" t="n"/>
      <c r="H191" s="16">
        <f>IF(F191="","",MAX(0,F191-N(G191)*N(E191)))</f>
        <v/>
      </c>
      <c r="I191" s="17" t="n">
        <v>0.52</v>
      </c>
      <c r="J191" s="18">
        <f>IF(H191="","",H191*N(I191)/15)</f>
        <v/>
      </c>
      <c r="K191" s="19" t="n"/>
      <c r="L191" s="19">
        <f>IF(J191="","",J191*N(K191))</f>
        <v/>
      </c>
    </row>
    <row r="192">
      <c r="A192" s="20" t="n"/>
      <c r="B192" s="21" t="n"/>
      <c r="C192" s="21" t="n"/>
      <c r="D192" s="28" t="n"/>
      <c r="E192" s="22" t="n"/>
      <c r="F192" s="23" t="n"/>
      <c r="G192" s="23" t="n"/>
      <c r="H192" s="23">
        <f>IF(F192="","",MAX(0,F192-N(G192)*N(E192)))</f>
        <v/>
      </c>
      <c r="I192" s="24" t="n">
        <v>0.52</v>
      </c>
      <c r="J192" s="25">
        <f>IF(H192="","",H192*N(I192)/15)</f>
        <v/>
      </c>
      <c r="K192" s="26" t="n"/>
      <c r="L192" s="26">
        <f>IF(J192="","",J192*N(K192))</f>
        <v/>
      </c>
    </row>
    <row r="193">
      <c r="A193" s="13" t="n"/>
      <c r="B193" s="14" t="n"/>
      <c r="C193" s="14" t="n"/>
      <c r="D193" s="27" t="n"/>
      <c r="E193" s="15" t="n"/>
      <c r="F193" s="16" t="n"/>
      <c r="G193" s="16" t="n"/>
      <c r="H193" s="16">
        <f>IF(F193="","",MAX(0,F193-N(G193)*N(E193)))</f>
        <v/>
      </c>
      <c r="I193" s="17" t="n">
        <v>0.52</v>
      </c>
      <c r="J193" s="18">
        <f>IF(H193="","",H193*N(I193)/15)</f>
        <v/>
      </c>
      <c r="K193" s="19" t="n"/>
      <c r="L193" s="19">
        <f>IF(J193="","",J193*N(K193))</f>
        <v/>
      </c>
    </row>
    <row r="194">
      <c r="A194" s="20" t="n"/>
      <c r="B194" s="21" t="n"/>
      <c r="C194" s="21" t="n"/>
      <c r="D194" s="28" t="n"/>
      <c r="E194" s="22" t="n"/>
      <c r="F194" s="23" t="n"/>
      <c r="G194" s="23" t="n"/>
      <c r="H194" s="23">
        <f>IF(F194="","",MAX(0,F194-N(G194)*N(E194)))</f>
        <v/>
      </c>
      <c r="I194" s="24" t="n">
        <v>0.52</v>
      </c>
      <c r="J194" s="25">
        <f>IF(H194="","",H194*N(I194)/15)</f>
        <v/>
      </c>
      <c r="K194" s="26" t="n"/>
      <c r="L194" s="26">
        <f>IF(J194="","",J194*N(K194))</f>
        <v/>
      </c>
    </row>
    <row r="195">
      <c r="A195" s="13" t="n"/>
      <c r="B195" s="14" t="n"/>
      <c r="C195" s="14" t="n"/>
      <c r="D195" s="27" t="n"/>
      <c r="E195" s="15" t="n"/>
      <c r="F195" s="16" t="n"/>
      <c r="G195" s="16" t="n"/>
      <c r="H195" s="16">
        <f>IF(F195="","",MAX(0,F195-N(G195)*N(E195)))</f>
        <v/>
      </c>
      <c r="I195" s="17" t="n">
        <v>0.52</v>
      </c>
      <c r="J195" s="18">
        <f>IF(H195="","",H195*N(I195)/15)</f>
        <v/>
      </c>
      <c r="K195" s="19" t="n"/>
      <c r="L195" s="19">
        <f>IF(J195="","",J195*N(K195))</f>
        <v/>
      </c>
    </row>
    <row r="196">
      <c r="A196" s="20" t="n"/>
      <c r="B196" s="21" t="n"/>
      <c r="C196" s="21" t="n"/>
      <c r="D196" s="28" t="n"/>
      <c r="E196" s="22" t="n"/>
      <c r="F196" s="23" t="n"/>
      <c r="G196" s="23" t="n"/>
      <c r="H196" s="23">
        <f>IF(F196="","",MAX(0,F196-N(G196)*N(E196)))</f>
        <v/>
      </c>
      <c r="I196" s="24" t="n">
        <v>0.52</v>
      </c>
      <c r="J196" s="25">
        <f>IF(H196="","",H196*N(I196)/15)</f>
        <v/>
      </c>
      <c r="K196" s="26" t="n"/>
      <c r="L196" s="26">
        <f>IF(J196="","",J196*N(K196))</f>
        <v/>
      </c>
    </row>
    <row r="197">
      <c r="A197" s="13" t="n"/>
      <c r="B197" s="14" t="n"/>
      <c r="C197" s="14" t="n"/>
      <c r="D197" s="27" t="n"/>
      <c r="E197" s="15" t="n"/>
      <c r="F197" s="16" t="n"/>
      <c r="G197" s="16" t="n"/>
      <c r="H197" s="16">
        <f>IF(F197="","",MAX(0,F197-N(G197)*N(E197)))</f>
        <v/>
      </c>
      <c r="I197" s="17" t="n">
        <v>0.52</v>
      </c>
      <c r="J197" s="18">
        <f>IF(H197="","",H197*N(I197)/15)</f>
        <v/>
      </c>
      <c r="K197" s="19" t="n"/>
      <c r="L197" s="19">
        <f>IF(J197="","",J197*N(K197))</f>
        <v/>
      </c>
    </row>
    <row r="198">
      <c r="A198" s="20" t="n"/>
      <c r="B198" s="21" t="n"/>
      <c r="C198" s="21" t="n"/>
      <c r="D198" s="28" t="n"/>
      <c r="E198" s="22" t="n"/>
      <c r="F198" s="23" t="n"/>
      <c r="G198" s="23" t="n"/>
      <c r="H198" s="23">
        <f>IF(F198="","",MAX(0,F198-N(G198)*N(E198)))</f>
        <v/>
      </c>
      <c r="I198" s="24" t="n">
        <v>0.52</v>
      </c>
      <c r="J198" s="25">
        <f>IF(H198="","",H198*N(I198)/15)</f>
        <v/>
      </c>
      <c r="K198" s="26" t="n"/>
      <c r="L198" s="26">
        <f>IF(J198="","",J198*N(K198))</f>
        <v/>
      </c>
    </row>
    <row r="199">
      <c r="A199" s="13" t="n"/>
      <c r="B199" s="14" t="n"/>
      <c r="C199" s="14" t="n"/>
      <c r="D199" s="27" t="n"/>
      <c r="E199" s="15" t="n"/>
      <c r="F199" s="16" t="n"/>
      <c r="G199" s="16" t="n"/>
      <c r="H199" s="16">
        <f>IF(F199="","",MAX(0,F199-N(G199)*N(E199)))</f>
        <v/>
      </c>
      <c r="I199" s="17" t="n">
        <v>0.52</v>
      </c>
      <c r="J199" s="18">
        <f>IF(H199="","",H199*N(I199)/15)</f>
        <v/>
      </c>
      <c r="K199" s="19" t="n"/>
      <c r="L199" s="19">
        <f>IF(J199="","",J199*N(K199))</f>
        <v/>
      </c>
    </row>
    <row r="200">
      <c r="A200" s="20" t="n"/>
      <c r="B200" s="21" t="n"/>
      <c r="C200" s="21" t="n"/>
      <c r="D200" s="28" t="n"/>
      <c r="E200" s="22" t="n"/>
      <c r="F200" s="23" t="n"/>
      <c r="G200" s="23" t="n"/>
      <c r="H200" s="23">
        <f>IF(F200="","",MAX(0,F200-N(G200)*N(E200)))</f>
        <v/>
      </c>
      <c r="I200" s="24" t="n">
        <v>0.52</v>
      </c>
      <c r="J200" s="25">
        <f>IF(H200="","",H200*N(I200)/15)</f>
        <v/>
      </c>
      <c r="K200" s="26" t="n"/>
      <c r="L200" s="26">
        <f>IF(J200="","",J200*N(K200))</f>
        <v/>
      </c>
    </row>
    <row r="201">
      <c r="A201" s="13" t="n"/>
      <c r="B201" s="14" t="n"/>
      <c r="C201" s="14" t="n"/>
      <c r="D201" s="27" t="n"/>
      <c r="E201" s="15" t="n"/>
      <c r="F201" s="16" t="n"/>
      <c r="G201" s="16" t="n"/>
      <c r="H201" s="16">
        <f>IF(F201="","",MAX(0,F201-N(G201)*N(E201)))</f>
        <v/>
      </c>
      <c r="I201" s="17" t="n">
        <v>0.52</v>
      </c>
      <c r="J201" s="18">
        <f>IF(H201="","",H201*N(I201)/15)</f>
        <v/>
      </c>
      <c r="K201" s="19" t="n"/>
      <c r="L201" s="19">
        <f>IF(J201="","",J201*N(K201))</f>
        <v/>
      </c>
    </row>
    <row r="202">
      <c r="A202" s="20" t="n"/>
      <c r="B202" s="21" t="n"/>
      <c r="C202" s="21" t="n"/>
      <c r="D202" s="28" t="n"/>
      <c r="E202" s="22" t="n"/>
      <c r="F202" s="23" t="n"/>
      <c r="G202" s="23" t="n"/>
      <c r="H202" s="23">
        <f>IF(F202="","",MAX(0,F202-N(G202)*N(E202)))</f>
        <v/>
      </c>
      <c r="I202" s="24" t="n">
        <v>0.52</v>
      </c>
      <c r="J202" s="25">
        <f>IF(H202="","",H202*N(I202)/15)</f>
        <v/>
      </c>
      <c r="K202" s="26" t="n"/>
      <c r="L202" s="26">
        <f>IF(J202="","",J202*N(K202))</f>
        <v/>
      </c>
    </row>
    <row r="203">
      <c r="A203" s="13" t="n"/>
      <c r="B203" s="14" t="n"/>
      <c r="C203" s="14" t="n"/>
      <c r="D203" s="27" t="n"/>
      <c r="E203" s="15" t="n"/>
      <c r="F203" s="16" t="n"/>
      <c r="G203" s="16" t="n"/>
      <c r="H203" s="16">
        <f>IF(F203="","",MAX(0,F203-N(G203)*N(E203)))</f>
        <v/>
      </c>
      <c r="I203" s="17" t="n">
        <v>0.52</v>
      </c>
      <c r="J203" s="18">
        <f>IF(H203="","",H203*N(I203)/15)</f>
        <v/>
      </c>
      <c r="K203" s="19" t="n"/>
      <c r="L203" s="19">
        <f>IF(J203="","",J203*N(K203))</f>
        <v/>
      </c>
    </row>
    <row r="204">
      <c r="A204" s="20" t="n"/>
      <c r="B204" s="21" t="n"/>
      <c r="C204" s="21" t="n"/>
      <c r="D204" s="28" t="n"/>
      <c r="E204" s="22" t="n"/>
      <c r="F204" s="23" t="n"/>
      <c r="G204" s="23" t="n"/>
      <c r="H204" s="23">
        <f>IF(F204="","",MAX(0,F204-N(G204)*N(E204)))</f>
        <v/>
      </c>
      <c r="I204" s="24" t="n">
        <v>0.52</v>
      </c>
      <c r="J204" s="25">
        <f>IF(H204="","",H204*N(I204)/15)</f>
        <v/>
      </c>
      <c r="K204" s="26" t="n"/>
      <c r="L204" s="26">
        <f>IF(J204="","",J204*N(K204))</f>
        <v/>
      </c>
    </row>
    <row r="205">
      <c r="A205" s="13" t="n"/>
      <c r="B205" s="14" t="n"/>
      <c r="C205" s="14" t="n"/>
      <c r="D205" s="27" t="n"/>
      <c r="E205" s="15" t="n"/>
      <c r="F205" s="16" t="n"/>
      <c r="G205" s="16" t="n"/>
      <c r="H205" s="16">
        <f>IF(F205="","",MAX(0,F205-N(G205)*N(E205)))</f>
        <v/>
      </c>
      <c r="I205" s="17" t="n">
        <v>0.52</v>
      </c>
      <c r="J205" s="18">
        <f>IF(H205="","",H205*N(I205)/15)</f>
        <v/>
      </c>
      <c r="K205" s="19" t="n"/>
      <c r="L205" s="19">
        <f>IF(J205="","",J205*N(K205))</f>
        <v/>
      </c>
    </row>
    <row r="206">
      <c r="A206" s="20" t="n"/>
      <c r="B206" s="21" t="n"/>
      <c r="C206" s="21" t="n"/>
      <c r="D206" s="28" t="n"/>
      <c r="E206" s="22" t="n"/>
      <c r="F206" s="23" t="n"/>
      <c r="G206" s="23" t="n"/>
      <c r="H206" s="23">
        <f>IF(F206="","",MAX(0,F206-N(G206)*N(E206)))</f>
        <v/>
      </c>
      <c r="I206" s="24" t="n">
        <v>0.52</v>
      </c>
      <c r="J206" s="25">
        <f>IF(H206="","",H206*N(I206)/15)</f>
        <v/>
      </c>
      <c r="K206" s="26" t="n"/>
      <c r="L206" s="26">
        <f>IF(J206="","",J206*N(K206))</f>
        <v/>
      </c>
    </row>
    <row r="207">
      <c r="A207" s="13" t="n"/>
      <c r="B207" s="14" t="n"/>
      <c r="C207" s="14" t="n"/>
      <c r="D207" s="27" t="n"/>
      <c r="E207" s="15" t="n"/>
      <c r="F207" s="16" t="n"/>
      <c r="G207" s="16" t="n"/>
      <c r="H207" s="16">
        <f>IF(F207="","",MAX(0,F207-N(G207)*N(E207)))</f>
        <v/>
      </c>
      <c r="I207" s="17" t="n">
        <v>0.52</v>
      </c>
      <c r="J207" s="18">
        <f>IF(H207="","",H207*N(I207)/15)</f>
        <v/>
      </c>
      <c r="K207" s="19" t="n"/>
      <c r="L207" s="19">
        <f>IF(J207="","",J207*N(K207))</f>
        <v/>
      </c>
    </row>
    <row r="208">
      <c r="A208" s="20" t="n"/>
      <c r="B208" s="21" t="n"/>
      <c r="C208" s="21" t="n"/>
      <c r="D208" s="28" t="n"/>
      <c r="E208" s="22" t="n"/>
      <c r="F208" s="23" t="n"/>
      <c r="G208" s="23" t="n"/>
      <c r="H208" s="23">
        <f>IF(F208="","",MAX(0,F208-N(G208)*N(E208)))</f>
        <v/>
      </c>
      <c r="I208" s="24" t="n">
        <v>0.52</v>
      </c>
      <c r="J208" s="25">
        <f>IF(H208="","",H208*N(I208)/15)</f>
        <v/>
      </c>
      <c r="K208" s="26" t="n"/>
      <c r="L208" s="26">
        <f>IF(J208="","",J208*N(K208))</f>
        <v/>
      </c>
    </row>
    <row r="209">
      <c r="A209" s="13" t="n"/>
      <c r="B209" s="14" t="n"/>
      <c r="C209" s="14" t="n"/>
      <c r="D209" s="27" t="n"/>
      <c r="E209" s="15" t="n"/>
      <c r="F209" s="16" t="n"/>
      <c r="G209" s="16" t="n"/>
      <c r="H209" s="16">
        <f>IF(F209="","",MAX(0,F209-N(G209)*N(E209)))</f>
        <v/>
      </c>
      <c r="I209" s="17" t="n">
        <v>0.52</v>
      </c>
      <c r="J209" s="18">
        <f>IF(H209="","",H209*N(I209)/15)</f>
        <v/>
      </c>
      <c r="K209" s="19" t="n"/>
      <c r="L209" s="19">
        <f>IF(J209="","",J209*N(K209))</f>
        <v/>
      </c>
    </row>
    <row r="210">
      <c r="A210" s="20" t="n"/>
      <c r="B210" s="21" t="n"/>
      <c r="C210" s="21" t="n"/>
      <c r="D210" s="28" t="n"/>
      <c r="E210" s="22" t="n"/>
      <c r="F210" s="23" t="n"/>
      <c r="G210" s="23" t="n"/>
      <c r="H210" s="23">
        <f>IF(F210="","",MAX(0,F210-N(G210)*N(E210)))</f>
        <v/>
      </c>
      <c r="I210" s="24" t="n">
        <v>0.52</v>
      </c>
      <c r="J210" s="25">
        <f>IF(H210="","",H210*N(I210)/15)</f>
        <v/>
      </c>
      <c r="K210" s="26" t="n"/>
      <c r="L210" s="26">
        <f>IF(J210="","",J210*N(K210))</f>
        <v/>
      </c>
    </row>
    <row r="211">
      <c r="A211" s="13" t="n"/>
      <c r="B211" s="14" t="n"/>
      <c r="C211" s="14" t="n"/>
      <c r="D211" s="27" t="n"/>
      <c r="E211" s="15" t="n"/>
      <c r="F211" s="16" t="n"/>
      <c r="G211" s="16" t="n"/>
      <c r="H211" s="16">
        <f>IF(F211="","",MAX(0,F211-N(G211)*N(E211)))</f>
        <v/>
      </c>
      <c r="I211" s="17" t="n">
        <v>0.52</v>
      </c>
      <c r="J211" s="18">
        <f>IF(H211="","",H211*N(I211)/15)</f>
        <v/>
      </c>
      <c r="K211" s="19" t="n"/>
      <c r="L211" s="19">
        <f>IF(J211="","",J211*N(K211))</f>
        <v/>
      </c>
    </row>
    <row r="212">
      <c r="A212" s="20" t="n"/>
      <c r="B212" s="21" t="n"/>
      <c r="C212" s="21" t="n"/>
      <c r="D212" s="28" t="n"/>
      <c r="E212" s="22" t="n"/>
      <c r="F212" s="23" t="n"/>
      <c r="G212" s="23" t="n"/>
      <c r="H212" s="23">
        <f>IF(F212="","",MAX(0,F212-N(G212)*N(E212)))</f>
        <v/>
      </c>
      <c r="I212" s="24" t="n">
        <v>0.52</v>
      </c>
      <c r="J212" s="25">
        <f>IF(H212="","",H212*N(I212)/15)</f>
        <v/>
      </c>
      <c r="K212" s="26" t="n"/>
      <c r="L212" s="26">
        <f>IF(J212="","",J212*N(K212))</f>
        <v/>
      </c>
    </row>
    <row r="213">
      <c r="A213" s="13" t="n"/>
      <c r="B213" s="14" t="n"/>
      <c r="C213" s="14" t="n"/>
      <c r="D213" s="27" t="n"/>
      <c r="E213" s="15" t="n"/>
      <c r="F213" s="16" t="n"/>
      <c r="G213" s="16" t="n"/>
      <c r="H213" s="16">
        <f>IF(F213="","",MAX(0,F213-N(G213)*N(E213)))</f>
        <v/>
      </c>
      <c r="I213" s="17" t="n">
        <v>0.52</v>
      </c>
      <c r="J213" s="18">
        <f>IF(H213="","",H213*N(I213)/15)</f>
        <v/>
      </c>
      <c r="K213" s="19" t="n"/>
      <c r="L213" s="19">
        <f>IF(J213="","",J213*N(K213))</f>
        <v/>
      </c>
    </row>
    <row r="214">
      <c r="A214" s="20" t="n"/>
      <c r="B214" s="21" t="n"/>
      <c r="C214" s="21" t="n"/>
      <c r="D214" s="28" t="n"/>
      <c r="E214" s="22" t="n"/>
      <c r="F214" s="23" t="n"/>
      <c r="G214" s="23" t="n"/>
      <c r="H214" s="23">
        <f>IF(F214="","",MAX(0,F214-N(G214)*N(E214)))</f>
        <v/>
      </c>
      <c r="I214" s="24" t="n">
        <v>0.52</v>
      </c>
      <c r="J214" s="25">
        <f>IF(H214="","",H214*N(I214)/15)</f>
        <v/>
      </c>
      <c r="K214" s="26" t="n"/>
      <c r="L214" s="26">
        <f>IF(J214="","",J214*N(K214))</f>
        <v/>
      </c>
    </row>
    <row r="215">
      <c r="A215" s="13" t="n"/>
      <c r="B215" s="14" t="n"/>
      <c r="C215" s="14" t="n"/>
      <c r="D215" s="27" t="n"/>
      <c r="E215" s="15" t="n"/>
      <c r="F215" s="16" t="n"/>
      <c r="G215" s="16" t="n"/>
      <c r="H215" s="16">
        <f>IF(F215="","",MAX(0,F215-N(G215)*N(E215)))</f>
        <v/>
      </c>
      <c r="I215" s="17" t="n">
        <v>0.52</v>
      </c>
      <c r="J215" s="18">
        <f>IF(H215="","",H215*N(I215)/15)</f>
        <v/>
      </c>
      <c r="K215" s="19" t="n"/>
      <c r="L215" s="19">
        <f>IF(J215="","",J215*N(K215))</f>
        <v/>
      </c>
    </row>
    <row r="216">
      <c r="A216" s="20" t="n"/>
      <c r="B216" s="21" t="n"/>
      <c r="C216" s="21" t="n"/>
      <c r="D216" s="28" t="n"/>
      <c r="E216" s="22" t="n"/>
      <c r="F216" s="23" t="n"/>
      <c r="G216" s="23" t="n"/>
      <c r="H216" s="23">
        <f>IF(F216="","",MAX(0,F216-N(G216)*N(E216)))</f>
        <v/>
      </c>
      <c r="I216" s="24" t="n">
        <v>0.52</v>
      </c>
      <c r="J216" s="25">
        <f>IF(H216="","",H216*N(I216)/15)</f>
        <v/>
      </c>
      <c r="K216" s="26" t="n"/>
      <c r="L216" s="26">
        <f>IF(J216="","",J216*N(K216))</f>
        <v/>
      </c>
    </row>
    <row r="217">
      <c r="A217" s="13" t="n"/>
      <c r="B217" s="14" t="n"/>
      <c r="C217" s="14" t="n"/>
      <c r="D217" s="27" t="n"/>
      <c r="E217" s="15" t="n"/>
      <c r="F217" s="16" t="n"/>
      <c r="G217" s="16" t="n"/>
      <c r="H217" s="16">
        <f>IF(F217="","",MAX(0,F217-N(G217)*N(E217)))</f>
        <v/>
      </c>
      <c r="I217" s="17" t="n">
        <v>0.52</v>
      </c>
      <c r="J217" s="18">
        <f>IF(H217="","",H217*N(I217)/15)</f>
        <v/>
      </c>
      <c r="K217" s="19" t="n"/>
      <c r="L217" s="19">
        <f>IF(J217="","",J217*N(K217))</f>
        <v/>
      </c>
    </row>
    <row r="218">
      <c r="A218" s="20" t="n"/>
      <c r="B218" s="21" t="n"/>
      <c r="C218" s="21" t="n"/>
      <c r="D218" s="28" t="n"/>
      <c r="E218" s="22" t="n"/>
      <c r="F218" s="23" t="n"/>
      <c r="G218" s="23" t="n"/>
      <c r="H218" s="23">
        <f>IF(F218="","",MAX(0,F218-N(G218)*N(E218)))</f>
        <v/>
      </c>
      <c r="I218" s="24" t="n">
        <v>0.52</v>
      </c>
      <c r="J218" s="25">
        <f>IF(H218="","",H218*N(I218)/15)</f>
        <v/>
      </c>
      <c r="K218" s="26" t="n"/>
      <c r="L218" s="26">
        <f>IF(J218="","",J218*N(K218))</f>
        <v/>
      </c>
    </row>
    <row r="219">
      <c r="A219" s="13" t="n"/>
      <c r="B219" s="14" t="n"/>
      <c r="C219" s="14" t="n"/>
      <c r="D219" s="27" t="n"/>
      <c r="E219" s="15" t="n"/>
      <c r="F219" s="16" t="n"/>
      <c r="G219" s="16" t="n"/>
      <c r="H219" s="16">
        <f>IF(F219="","",MAX(0,F219-N(G219)*N(E219)))</f>
        <v/>
      </c>
      <c r="I219" s="17" t="n">
        <v>0.52</v>
      </c>
      <c r="J219" s="18">
        <f>IF(H219="","",H219*N(I219)/15)</f>
        <v/>
      </c>
      <c r="K219" s="19" t="n"/>
      <c r="L219" s="19">
        <f>IF(J219="","",J219*N(K219))</f>
        <v/>
      </c>
    </row>
    <row r="220">
      <c r="A220" s="20" t="n"/>
      <c r="B220" s="21" t="n"/>
      <c r="C220" s="21" t="n"/>
      <c r="D220" s="28" t="n"/>
      <c r="E220" s="22" t="n"/>
      <c r="F220" s="23" t="n"/>
      <c r="G220" s="23" t="n"/>
      <c r="H220" s="23">
        <f>IF(F220="","",MAX(0,F220-N(G220)*N(E220)))</f>
        <v/>
      </c>
      <c r="I220" s="24" t="n">
        <v>0.52</v>
      </c>
      <c r="J220" s="25">
        <f>IF(H220="","",H220*N(I220)/15)</f>
        <v/>
      </c>
      <c r="K220" s="26" t="n"/>
      <c r="L220" s="26">
        <f>IF(J220="","",J220*N(K220))</f>
        <v/>
      </c>
    </row>
    <row r="221">
      <c r="A221" s="13" t="n"/>
      <c r="B221" s="14" t="n"/>
      <c r="C221" s="14" t="n"/>
      <c r="D221" s="27" t="n"/>
      <c r="E221" s="15" t="n"/>
      <c r="F221" s="16" t="n"/>
      <c r="G221" s="16" t="n"/>
      <c r="H221" s="16">
        <f>IF(F221="","",MAX(0,F221-N(G221)*N(E221)))</f>
        <v/>
      </c>
      <c r="I221" s="17" t="n">
        <v>0.52</v>
      </c>
      <c r="J221" s="18">
        <f>IF(H221="","",H221*N(I221)/15)</f>
        <v/>
      </c>
      <c r="K221" s="19" t="n"/>
      <c r="L221" s="19">
        <f>IF(J221="","",J221*N(K221))</f>
        <v/>
      </c>
    </row>
    <row r="222">
      <c r="A222" s="20" t="n"/>
      <c r="B222" s="21" t="n"/>
      <c r="C222" s="21" t="n"/>
      <c r="D222" s="28" t="n"/>
      <c r="E222" s="22" t="n"/>
      <c r="F222" s="23" t="n"/>
      <c r="G222" s="23" t="n"/>
      <c r="H222" s="23">
        <f>IF(F222="","",MAX(0,F222-N(G222)*N(E222)))</f>
        <v/>
      </c>
      <c r="I222" s="24" t="n">
        <v>0.52</v>
      </c>
      <c r="J222" s="25">
        <f>IF(H222="","",H222*N(I222)/15)</f>
        <v/>
      </c>
      <c r="K222" s="26" t="n"/>
      <c r="L222" s="26">
        <f>IF(J222="","",J222*N(K222))</f>
        <v/>
      </c>
    </row>
    <row r="223">
      <c r="A223" s="13" t="n"/>
      <c r="B223" s="14" t="n"/>
      <c r="C223" s="14" t="n"/>
      <c r="D223" s="27" t="n"/>
      <c r="E223" s="15" t="n"/>
      <c r="F223" s="16" t="n"/>
      <c r="G223" s="16" t="n"/>
      <c r="H223" s="16">
        <f>IF(F223="","",MAX(0,F223-N(G223)*N(E223)))</f>
        <v/>
      </c>
      <c r="I223" s="17" t="n">
        <v>0.52</v>
      </c>
      <c r="J223" s="18">
        <f>IF(H223="","",H223*N(I223)/15)</f>
        <v/>
      </c>
      <c r="K223" s="19" t="n"/>
      <c r="L223" s="19">
        <f>IF(J223="","",J223*N(K223))</f>
        <v/>
      </c>
    </row>
    <row r="224">
      <c r="A224" s="20" t="n"/>
      <c r="B224" s="21" t="n"/>
      <c r="C224" s="21" t="n"/>
      <c r="D224" s="28" t="n"/>
      <c r="E224" s="22" t="n"/>
      <c r="F224" s="23" t="n"/>
      <c r="G224" s="23" t="n"/>
      <c r="H224" s="23">
        <f>IF(F224="","",MAX(0,F224-N(G224)*N(E224)))</f>
        <v/>
      </c>
      <c r="I224" s="24" t="n">
        <v>0.52</v>
      </c>
      <c r="J224" s="25">
        <f>IF(H224="","",H224*N(I224)/15)</f>
        <v/>
      </c>
      <c r="K224" s="26" t="n"/>
      <c r="L224" s="26">
        <f>IF(J224="","",J224*N(K224))</f>
        <v/>
      </c>
    </row>
    <row r="225">
      <c r="A225" s="13" t="n"/>
      <c r="B225" s="14" t="n"/>
      <c r="C225" s="14" t="n"/>
      <c r="D225" s="27" t="n"/>
      <c r="E225" s="15" t="n"/>
      <c r="F225" s="16" t="n"/>
      <c r="G225" s="16" t="n"/>
      <c r="H225" s="16">
        <f>IF(F225="","",MAX(0,F225-N(G225)*N(E225)))</f>
        <v/>
      </c>
      <c r="I225" s="17" t="n">
        <v>0.52</v>
      </c>
      <c r="J225" s="18">
        <f>IF(H225="","",H225*N(I225)/15)</f>
        <v/>
      </c>
      <c r="K225" s="19" t="n"/>
      <c r="L225" s="19">
        <f>IF(J225="","",J225*N(K225))</f>
        <v/>
      </c>
    </row>
    <row r="226">
      <c r="A226" s="20" t="n"/>
      <c r="B226" s="21" t="n"/>
      <c r="C226" s="21" t="n"/>
      <c r="D226" s="28" t="n"/>
      <c r="E226" s="22" t="n"/>
      <c r="F226" s="23" t="n"/>
      <c r="G226" s="23" t="n"/>
      <c r="H226" s="23">
        <f>IF(F226="","",MAX(0,F226-N(G226)*N(E226)))</f>
        <v/>
      </c>
      <c r="I226" s="24" t="n">
        <v>0.52</v>
      </c>
      <c r="J226" s="25">
        <f>IF(H226="","",H226*N(I226)/15)</f>
        <v/>
      </c>
      <c r="K226" s="26" t="n"/>
      <c r="L226" s="26">
        <f>IF(J226="","",J226*N(K226))</f>
        <v/>
      </c>
    </row>
    <row r="227">
      <c r="A227" s="13" t="n"/>
      <c r="B227" s="14" t="n"/>
      <c r="C227" s="14" t="n"/>
      <c r="D227" s="27" t="n"/>
      <c r="E227" s="15" t="n"/>
      <c r="F227" s="16" t="n"/>
      <c r="G227" s="16" t="n"/>
      <c r="H227" s="16">
        <f>IF(F227="","",MAX(0,F227-N(G227)*N(E227)))</f>
        <v/>
      </c>
      <c r="I227" s="17" t="n">
        <v>0.52</v>
      </c>
      <c r="J227" s="18">
        <f>IF(H227="","",H227*N(I227)/15)</f>
        <v/>
      </c>
      <c r="K227" s="19" t="n"/>
      <c r="L227" s="19">
        <f>IF(J227="","",J227*N(K227))</f>
        <v/>
      </c>
    </row>
    <row r="228">
      <c r="A228" s="20" t="n"/>
      <c r="B228" s="21" t="n"/>
      <c r="C228" s="21" t="n"/>
      <c r="D228" s="28" t="n"/>
      <c r="E228" s="22" t="n"/>
      <c r="F228" s="23" t="n"/>
      <c r="G228" s="23" t="n"/>
      <c r="H228" s="23">
        <f>IF(F228="","",MAX(0,F228-N(G228)*N(E228)))</f>
        <v/>
      </c>
      <c r="I228" s="24" t="n">
        <v>0.52</v>
      </c>
      <c r="J228" s="25">
        <f>IF(H228="","",H228*N(I228)/15)</f>
        <v/>
      </c>
      <c r="K228" s="26" t="n"/>
      <c r="L228" s="26">
        <f>IF(J228="","",J228*N(K228))</f>
        <v/>
      </c>
    </row>
    <row r="229">
      <c r="A229" s="13" t="n"/>
      <c r="B229" s="14" t="n"/>
      <c r="C229" s="14" t="n"/>
      <c r="D229" s="27" t="n"/>
      <c r="E229" s="15" t="n"/>
      <c r="F229" s="16" t="n"/>
      <c r="G229" s="16" t="n"/>
      <c r="H229" s="16">
        <f>IF(F229="","",MAX(0,F229-N(G229)*N(E229)))</f>
        <v/>
      </c>
      <c r="I229" s="17" t="n">
        <v>0.52</v>
      </c>
      <c r="J229" s="18">
        <f>IF(H229="","",H229*N(I229)/15)</f>
        <v/>
      </c>
      <c r="K229" s="19" t="n"/>
      <c r="L229" s="19">
        <f>IF(J229="","",J229*N(K229))</f>
        <v/>
      </c>
    </row>
    <row r="230">
      <c r="A230" s="20" t="n"/>
      <c r="B230" s="21" t="n"/>
      <c r="C230" s="21" t="n"/>
      <c r="D230" s="28" t="n"/>
      <c r="E230" s="22" t="n"/>
      <c r="F230" s="23" t="n"/>
      <c r="G230" s="23" t="n"/>
      <c r="H230" s="23">
        <f>IF(F230="","",MAX(0,F230-N(G230)*N(E230)))</f>
        <v/>
      </c>
      <c r="I230" s="24" t="n">
        <v>0.52</v>
      </c>
      <c r="J230" s="25">
        <f>IF(H230="","",H230*N(I230)/15)</f>
        <v/>
      </c>
      <c r="K230" s="26" t="n"/>
      <c r="L230" s="26">
        <f>IF(J230="","",J230*N(K230))</f>
        <v/>
      </c>
    </row>
    <row r="231">
      <c r="A231" s="13" t="n"/>
      <c r="B231" s="14" t="n"/>
      <c r="C231" s="14" t="n"/>
      <c r="D231" s="27" t="n"/>
      <c r="E231" s="15" t="n"/>
      <c r="F231" s="16" t="n"/>
      <c r="G231" s="16" t="n"/>
      <c r="H231" s="16">
        <f>IF(F231="","",MAX(0,F231-N(G231)*N(E231)))</f>
        <v/>
      </c>
      <c r="I231" s="17" t="n">
        <v>0.52</v>
      </c>
      <c r="J231" s="18">
        <f>IF(H231="","",H231*N(I231)/15)</f>
        <v/>
      </c>
      <c r="K231" s="19" t="n"/>
      <c r="L231" s="19">
        <f>IF(J231="","",J231*N(K231))</f>
        <v/>
      </c>
    </row>
    <row r="232">
      <c r="A232" s="20" t="n"/>
      <c r="B232" s="21" t="n"/>
      <c r="C232" s="21" t="n"/>
      <c r="D232" s="28" t="n"/>
      <c r="E232" s="22" t="n"/>
      <c r="F232" s="23" t="n"/>
      <c r="G232" s="23" t="n"/>
      <c r="H232" s="23">
        <f>IF(F232="","",MAX(0,F232-N(G232)*N(E232)))</f>
        <v/>
      </c>
      <c r="I232" s="24" t="n">
        <v>0.52</v>
      </c>
      <c r="J232" s="25">
        <f>IF(H232="","",H232*N(I232)/15)</f>
        <v/>
      </c>
      <c r="K232" s="26" t="n"/>
      <c r="L232" s="26">
        <f>IF(J232="","",J232*N(K232))</f>
        <v/>
      </c>
    </row>
    <row r="233">
      <c r="A233" s="13" t="n"/>
      <c r="B233" s="14" t="n"/>
      <c r="C233" s="14" t="n"/>
      <c r="D233" s="27" t="n"/>
      <c r="E233" s="15" t="n"/>
      <c r="F233" s="16" t="n"/>
      <c r="G233" s="16" t="n"/>
      <c r="H233" s="16">
        <f>IF(F233="","",MAX(0,F233-N(G233)*N(E233)))</f>
        <v/>
      </c>
      <c r="I233" s="17" t="n">
        <v>0.52</v>
      </c>
      <c r="J233" s="18">
        <f>IF(H233="","",H233*N(I233)/15)</f>
        <v/>
      </c>
      <c r="K233" s="19" t="n"/>
      <c r="L233" s="19">
        <f>IF(J233="","",J233*N(K233))</f>
        <v/>
      </c>
    </row>
    <row r="234">
      <c r="A234" s="20" t="n"/>
      <c r="B234" s="21" t="n"/>
      <c r="C234" s="21" t="n"/>
      <c r="D234" s="28" t="n"/>
      <c r="E234" s="22" t="n"/>
      <c r="F234" s="23" t="n"/>
      <c r="G234" s="23" t="n"/>
      <c r="H234" s="23">
        <f>IF(F234="","",MAX(0,F234-N(G234)*N(E234)))</f>
        <v/>
      </c>
      <c r="I234" s="24" t="n">
        <v>0.52</v>
      </c>
      <c r="J234" s="25">
        <f>IF(H234="","",H234*N(I234)/15)</f>
        <v/>
      </c>
      <c r="K234" s="26" t="n"/>
      <c r="L234" s="26">
        <f>IF(J234="","",J234*N(K234))</f>
        <v/>
      </c>
    </row>
    <row r="235">
      <c r="A235" s="13" t="n"/>
      <c r="B235" s="14" t="n"/>
      <c r="C235" s="14" t="n"/>
      <c r="D235" s="27" t="n"/>
      <c r="E235" s="15" t="n"/>
      <c r="F235" s="16" t="n"/>
      <c r="G235" s="16" t="n"/>
      <c r="H235" s="16">
        <f>IF(F235="","",MAX(0,F235-N(G235)*N(E235)))</f>
        <v/>
      </c>
      <c r="I235" s="17" t="n">
        <v>0.52</v>
      </c>
      <c r="J235" s="18">
        <f>IF(H235="","",H235*N(I235)/15)</f>
        <v/>
      </c>
      <c r="K235" s="19" t="n"/>
      <c r="L235" s="19">
        <f>IF(J235="","",J235*N(K235))</f>
        <v/>
      </c>
    </row>
    <row r="236">
      <c r="A236" s="20" t="n"/>
      <c r="B236" s="21" t="n"/>
      <c r="C236" s="21" t="n"/>
      <c r="D236" s="28" t="n"/>
      <c r="E236" s="22" t="n"/>
      <c r="F236" s="23" t="n"/>
      <c r="G236" s="23" t="n"/>
      <c r="H236" s="23">
        <f>IF(F236="","",MAX(0,F236-N(G236)*N(E236)))</f>
        <v/>
      </c>
      <c r="I236" s="24" t="n">
        <v>0.52</v>
      </c>
      <c r="J236" s="25">
        <f>IF(H236="","",H236*N(I236)/15)</f>
        <v/>
      </c>
      <c r="K236" s="26" t="n"/>
      <c r="L236" s="26">
        <f>IF(J236="","",J236*N(K236))</f>
        <v/>
      </c>
    </row>
    <row r="237">
      <c r="A237" s="13" t="n"/>
      <c r="B237" s="14" t="n"/>
      <c r="C237" s="14" t="n"/>
      <c r="D237" s="27" t="n"/>
      <c r="E237" s="15" t="n"/>
      <c r="F237" s="16" t="n"/>
      <c r="G237" s="16" t="n"/>
      <c r="H237" s="16">
        <f>IF(F237="","",MAX(0,F237-N(G237)*N(E237)))</f>
        <v/>
      </c>
      <c r="I237" s="17" t="n">
        <v>0.52</v>
      </c>
      <c r="J237" s="18">
        <f>IF(H237="","",H237*N(I237)/15)</f>
        <v/>
      </c>
      <c r="K237" s="19" t="n"/>
      <c r="L237" s="19">
        <f>IF(J237="","",J237*N(K237))</f>
        <v/>
      </c>
    </row>
    <row r="238">
      <c r="A238" s="20" t="n"/>
      <c r="B238" s="21" t="n"/>
      <c r="C238" s="21" t="n"/>
      <c r="D238" s="28" t="n"/>
      <c r="E238" s="22" t="n"/>
      <c r="F238" s="23" t="n"/>
      <c r="G238" s="23" t="n"/>
      <c r="H238" s="23">
        <f>IF(F238="","",MAX(0,F238-N(G238)*N(E238)))</f>
        <v/>
      </c>
      <c r="I238" s="24" t="n">
        <v>0.52</v>
      </c>
      <c r="J238" s="25">
        <f>IF(H238="","",H238*N(I238)/15)</f>
        <v/>
      </c>
      <c r="K238" s="26" t="n"/>
      <c r="L238" s="26">
        <f>IF(J238="","",J238*N(K238))</f>
        <v/>
      </c>
    </row>
    <row r="239">
      <c r="A239" s="13" t="n"/>
      <c r="B239" s="14" t="n"/>
      <c r="C239" s="14" t="n"/>
      <c r="D239" s="27" t="n"/>
      <c r="E239" s="15" t="n"/>
      <c r="F239" s="16" t="n"/>
      <c r="G239" s="16" t="n"/>
      <c r="H239" s="16">
        <f>IF(F239="","",MAX(0,F239-N(G239)*N(E239)))</f>
        <v/>
      </c>
      <c r="I239" s="17" t="n">
        <v>0.52</v>
      </c>
      <c r="J239" s="18">
        <f>IF(H239="","",H239*N(I239)/15)</f>
        <v/>
      </c>
      <c r="K239" s="19" t="n"/>
      <c r="L239" s="19">
        <f>IF(J239="","",J239*N(K239))</f>
        <v/>
      </c>
    </row>
    <row r="240">
      <c r="A240" s="20" t="n"/>
      <c r="B240" s="21" t="n"/>
      <c r="C240" s="21" t="n"/>
      <c r="D240" s="28" t="n"/>
      <c r="E240" s="22" t="n"/>
      <c r="F240" s="23" t="n"/>
      <c r="G240" s="23" t="n"/>
      <c r="H240" s="23">
        <f>IF(F240="","",MAX(0,F240-N(G240)*N(E240)))</f>
        <v/>
      </c>
      <c r="I240" s="24" t="n">
        <v>0.52</v>
      </c>
      <c r="J240" s="25">
        <f>IF(H240="","",H240*N(I240)/15)</f>
        <v/>
      </c>
      <c r="K240" s="26" t="n"/>
      <c r="L240" s="26">
        <f>IF(J240="","",J240*N(K240))</f>
        <v/>
      </c>
    </row>
    <row r="241">
      <c r="A241" s="13" t="n"/>
      <c r="B241" s="14" t="n"/>
      <c r="C241" s="14" t="n"/>
      <c r="D241" s="27" t="n"/>
      <c r="E241" s="15" t="n"/>
      <c r="F241" s="16" t="n"/>
      <c r="G241" s="16" t="n"/>
      <c r="H241" s="16">
        <f>IF(F241="","",MAX(0,F241-N(G241)*N(E241)))</f>
        <v/>
      </c>
      <c r="I241" s="17" t="n">
        <v>0.52</v>
      </c>
      <c r="J241" s="18">
        <f>IF(H241="","",H241*N(I241)/15)</f>
        <v/>
      </c>
      <c r="K241" s="19" t="n"/>
      <c r="L241" s="19">
        <f>IF(J241="","",J241*N(K241))</f>
        <v/>
      </c>
    </row>
    <row r="242">
      <c r="A242" s="20" t="n"/>
      <c r="B242" s="21" t="n"/>
      <c r="C242" s="21" t="n"/>
      <c r="D242" s="28" t="n"/>
      <c r="E242" s="22" t="n"/>
      <c r="F242" s="23" t="n"/>
      <c r="G242" s="23" t="n"/>
      <c r="H242" s="23">
        <f>IF(F242="","",MAX(0,F242-N(G242)*N(E242)))</f>
        <v/>
      </c>
      <c r="I242" s="24" t="n">
        <v>0.52</v>
      </c>
      <c r="J242" s="25">
        <f>IF(H242="","",H242*N(I242)/15)</f>
        <v/>
      </c>
      <c r="K242" s="26" t="n"/>
      <c r="L242" s="26">
        <f>IF(J242="","",J242*N(K242))</f>
        <v/>
      </c>
    </row>
    <row r="243">
      <c r="A243" s="13" t="n"/>
      <c r="B243" s="14" t="n"/>
      <c r="C243" s="14" t="n"/>
      <c r="D243" s="27" t="n"/>
      <c r="E243" s="15" t="n"/>
      <c r="F243" s="16" t="n"/>
      <c r="G243" s="16" t="n"/>
      <c r="H243" s="16">
        <f>IF(F243="","",MAX(0,F243-N(G243)*N(E243)))</f>
        <v/>
      </c>
      <c r="I243" s="17" t="n">
        <v>0.52</v>
      </c>
      <c r="J243" s="18">
        <f>IF(H243="","",H243*N(I243)/15)</f>
        <v/>
      </c>
      <c r="K243" s="19" t="n"/>
      <c r="L243" s="19">
        <f>IF(J243="","",J243*N(K243))</f>
        <v/>
      </c>
    </row>
    <row r="244">
      <c r="A244" s="20" t="n"/>
      <c r="B244" s="21" t="n"/>
      <c r="C244" s="21" t="n"/>
      <c r="D244" s="28" t="n"/>
      <c r="E244" s="22" t="n"/>
      <c r="F244" s="23" t="n"/>
      <c r="G244" s="23" t="n"/>
      <c r="H244" s="23">
        <f>IF(F244="","",MAX(0,F244-N(G244)*N(E244)))</f>
        <v/>
      </c>
      <c r="I244" s="24" t="n">
        <v>0.52</v>
      </c>
      <c r="J244" s="25">
        <f>IF(H244="","",H244*N(I244)/15)</f>
        <v/>
      </c>
      <c r="K244" s="26" t="n"/>
      <c r="L244" s="26">
        <f>IF(J244="","",J244*N(K244))</f>
        <v/>
      </c>
    </row>
    <row r="245">
      <c r="A245" s="13" t="n"/>
      <c r="B245" s="14" t="n"/>
      <c r="C245" s="14" t="n"/>
      <c r="D245" s="27" t="n"/>
      <c r="E245" s="15" t="n"/>
      <c r="F245" s="16" t="n"/>
      <c r="G245" s="16" t="n"/>
      <c r="H245" s="16">
        <f>IF(F245="","",MAX(0,F245-N(G245)*N(E245)))</f>
        <v/>
      </c>
      <c r="I245" s="17" t="n">
        <v>0.52</v>
      </c>
      <c r="J245" s="18">
        <f>IF(H245="","",H245*N(I245)/15)</f>
        <v/>
      </c>
      <c r="K245" s="19" t="n"/>
      <c r="L245" s="19">
        <f>IF(J245="","",J245*N(K245))</f>
        <v/>
      </c>
    </row>
    <row r="246">
      <c r="A246" s="20" t="n"/>
      <c r="B246" s="21" t="n"/>
      <c r="C246" s="21" t="n"/>
      <c r="D246" s="28" t="n"/>
      <c r="E246" s="22" t="n"/>
      <c r="F246" s="23" t="n"/>
      <c r="G246" s="23" t="n"/>
      <c r="H246" s="23">
        <f>IF(F246="","",MAX(0,F246-N(G246)*N(E246)))</f>
        <v/>
      </c>
      <c r="I246" s="24" t="n">
        <v>0.52</v>
      </c>
      <c r="J246" s="25">
        <f>IF(H246="","",H246*N(I246)/15)</f>
        <v/>
      </c>
      <c r="K246" s="26" t="n"/>
      <c r="L246" s="26">
        <f>IF(J246="","",J246*N(K246))</f>
        <v/>
      </c>
    </row>
    <row r="247">
      <c r="A247" s="13" t="n"/>
      <c r="B247" s="14" t="n"/>
      <c r="C247" s="14" t="n"/>
      <c r="D247" s="27" t="n"/>
      <c r="E247" s="15" t="n"/>
      <c r="F247" s="16" t="n"/>
      <c r="G247" s="16" t="n"/>
      <c r="H247" s="16">
        <f>IF(F247="","",MAX(0,F247-N(G247)*N(E247)))</f>
        <v/>
      </c>
      <c r="I247" s="17" t="n">
        <v>0.52</v>
      </c>
      <c r="J247" s="18">
        <f>IF(H247="","",H247*N(I247)/15)</f>
        <v/>
      </c>
      <c r="K247" s="19" t="n"/>
      <c r="L247" s="19">
        <f>IF(J247="","",J247*N(K247))</f>
        <v/>
      </c>
    </row>
    <row r="248">
      <c r="A248" s="20" t="n"/>
      <c r="B248" s="21" t="n"/>
      <c r="C248" s="21" t="n"/>
      <c r="D248" s="28" t="n"/>
      <c r="E248" s="22" t="n"/>
      <c r="F248" s="23" t="n"/>
      <c r="G248" s="23" t="n"/>
      <c r="H248" s="23">
        <f>IF(F248="","",MAX(0,F248-N(G248)*N(E248)))</f>
        <v/>
      </c>
      <c r="I248" s="24" t="n">
        <v>0.52</v>
      </c>
      <c r="J248" s="25">
        <f>IF(H248="","",H248*N(I248)/15)</f>
        <v/>
      </c>
      <c r="K248" s="26" t="n"/>
      <c r="L248" s="26">
        <f>IF(J248="","",J248*N(K248))</f>
        <v/>
      </c>
    </row>
    <row r="249">
      <c r="A249" s="13" t="n"/>
      <c r="B249" s="14" t="n"/>
      <c r="C249" s="14" t="n"/>
      <c r="D249" s="27" t="n"/>
      <c r="E249" s="15" t="n"/>
      <c r="F249" s="16" t="n"/>
      <c r="G249" s="16" t="n"/>
      <c r="H249" s="16">
        <f>IF(F249="","",MAX(0,F249-N(G249)*N(E249)))</f>
        <v/>
      </c>
      <c r="I249" s="17" t="n">
        <v>0.52</v>
      </c>
      <c r="J249" s="18">
        <f>IF(H249="","",H249*N(I249)/15)</f>
        <v/>
      </c>
      <c r="K249" s="19" t="n"/>
      <c r="L249" s="19">
        <f>IF(J249="","",J249*N(K249))</f>
        <v/>
      </c>
    </row>
    <row r="250">
      <c r="A250" s="20" t="n"/>
      <c r="B250" s="21" t="n"/>
      <c r="C250" s="21" t="n"/>
      <c r="D250" s="28" t="n"/>
      <c r="E250" s="22" t="n"/>
      <c r="F250" s="23" t="n"/>
      <c r="G250" s="23" t="n"/>
      <c r="H250" s="23">
        <f>IF(F250="","",MAX(0,F250-N(G250)*N(E250)))</f>
        <v/>
      </c>
      <c r="I250" s="24" t="n">
        <v>0.52</v>
      </c>
      <c r="J250" s="25">
        <f>IF(H250="","",H250*N(I250)/15)</f>
        <v/>
      </c>
      <c r="K250" s="26" t="n"/>
      <c r="L250" s="26">
        <f>IF(J250="","",J250*N(K250))</f>
        <v/>
      </c>
    </row>
    <row r="251">
      <c r="A251" s="13" t="n"/>
      <c r="B251" s="14" t="n"/>
      <c r="C251" s="14" t="n"/>
      <c r="D251" s="27" t="n"/>
      <c r="E251" s="15" t="n"/>
      <c r="F251" s="16" t="n"/>
      <c r="G251" s="16" t="n"/>
      <c r="H251" s="16">
        <f>IF(F251="","",MAX(0,F251-N(G251)*N(E251)))</f>
        <v/>
      </c>
      <c r="I251" s="17" t="n">
        <v>0.52</v>
      </c>
      <c r="J251" s="18">
        <f>IF(H251="","",H251*N(I251)/15)</f>
        <v/>
      </c>
      <c r="K251" s="19" t="n"/>
      <c r="L251" s="19">
        <f>IF(J251="","",J251*N(K251))</f>
        <v/>
      </c>
    </row>
    <row r="252">
      <c r="A252" s="20" t="n"/>
      <c r="B252" s="21" t="n"/>
      <c r="C252" s="21" t="n"/>
      <c r="D252" s="28" t="n"/>
      <c r="E252" s="22" t="n"/>
      <c r="F252" s="23" t="n"/>
      <c r="G252" s="23" t="n"/>
      <c r="H252" s="23">
        <f>IF(F252="","",MAX(0,F252-N(G252)*N(E252)))</f>
        <v/>
      </c>
      <c r="I252" s="24" t="n">
        <v>0.52</v>
      </c>
      <c r="J252" s="25">
        <f>IF(H252="","",H252*N(I252)/15)</f>
        <v/>
      </c>
      <c r="K252" s="26" t="n"/>
      <c r="L252" s="26">
        <f>IF(J252="","",J252*N(K252))</f>
        <v/>
      </c>
    </row>
    <row r="253">
      <c r="A253" s="13" t="n"/>
      <c r="B253" s="14" t="n"/>
      <c r="C253" s="14" t="n"/>
      <c r="D253" s="27" t="n"/>
      <c r="E253" s="15" t="n"/>
      <c r="F253" s="16" t="n"/>
      <c r="G253" s="16" t="n"/>
      <c r="H253" s="16">
        <f>IF(F253="","",MAX(0,F253-N(G253)*N(E253)))</f>
        <v/>
      </c>
      <c r="I253" s="17" t="n">
        <v>0.52</v>
      </c>
      <c r="J253" s="18">
        <f>IF(H253="","",H253*N(I253)/15)</f>
        <v/>
      </c>
      <c r="K253" s="19" t="n"/>
      <c r="L253" s="19">
        <f>IF(J253="","",J253*N(K253))</f>
        <v/>
      </c>
    </row>
    <row r="254">
      <c r="A254" s="20" t="n"/>
      <c r="B254" s="21" t="n"/>
      <c r="C254" s="21" t="n"/>
      <c r="D254" s="28" t="n"/>
      <c r="E254" s="22" t="n"/>
      <c r="F254" s="23" t="n"/>
      <c r="G254" s="23" t="n"/>
      <c r="H254" s="23">
        <f>IF(F254="","",MAX(0,F254-N(G254)*N(E254)))</f>
        <v/>
      </c>
      <c r="I254" s="24" t="n">
        <v>0.52</v>
      </c>
      <c r="J254" s="25">
        <f>IF(H254="","",H254*N(I254)/15)</f>
        <v/>
      </c>
      <c r="K254" s="26" t="n"/>
      <c r="L254" s="26">
        <f>IF(J254="","",J254*N(K254))</f>
        <v/>
      </c>
    </row>
    <row r="255">
      <c r="A255" s="13" t="n"/>
      <c r="B255" s="14" t="n"/>
      <c r="C255" s="14" t="n"/>
      <c r="D255" s="27" t="n"/>
      <c r="E255" s="15" t="n"/>
      <c r="F255" s="16" t="n"/>
      <c r="G255" s="16" t="n"/>
      <c r="H255" s="16">
        <f>IF(F255="","",MAX(0,F255-N(G255)*N(E255)))</f>
        <v/>
      </c>
      <c r="I255" s="17" t="n">
        <v>0.52</v>
      </c>
      <c r="J255" s="18">
        <f>IF(H255="","",H255*N(I255)/15)</f>
        <v/>
      </c>
      <c r="K255" s="19" t="n"/>
      <c r="L255" s="19">
        <f>IF(J255="","",J255*N(K255))</f>
        <v/>
      </c>
    </row>
    <row r="256">
      <c r="A256" s="20" t="n"/>
      <c r="B256" s="21" t="n"/>
      <c r="C256" s="21" t="n"/>
      <c r="D256" s="28" t="n"/>
      <c r="E256" s="22" t="n"/>
      <c r="F256" s="23" t="n"/>
      <c r="G256" s="23" t="n"/>
      <c r="H256" s="23">
        <f>IF(F256="","",MAX(0,F256-N(G256)*N(E256)))</f>
        <v/>
      </c>
      <c r="I256" s="24" t="n">
        <v>0.52</v>
      </c>
      <c r="J256" s="25">
        <f>IF(H256="","",H256*N(I256)/15)</f>
        <v/>
      </c>
      <c r="K256" s="26" t="n"/>
      <c r="L256" s="26">
        <f>IF(J256="","",J256*N(K256))</f>
        <v/>
      </c>
    </row>
    <row r="257">
      <c r="A257" s="13" t="n"/>
      <c r="B257" s="14" t="n"/>
      <c r="C257" s="14" t="n"/>
      <c r="D257" s="27" t="n"/>
      <c r="E257" s="15" t="n"/>
      <c r="F257" s="16" t="n"/>
      <c r="G257" s="16" t="n"/>
      <c r="H257" s="16">
        <f>IF(F257="","",MAX(0,F257-N(G257)*N(E257)))</f>
        <v/>
      </c>
      <c r="I257" s="17" t="n">
        <v>0.52</v>
      </c>
      <c r="J257" s="18">
        <f>IF(H257="","",H257*N(I257)/15)</f>
        <v/>
      </c>
      <c r="K257" s="19" t="n"/>
      <c r="L257" s="19">
        <f>IF(J257="","",J257*N(K257))</f>
        <v/>
      </c>
    </row>
    <row r="258">
      <c r="A258" s="20" t="n"/>
      <c r="B258" s="21" t="n"/>
      <c r="C258" s="21" t="n"/>
      <c r="D258" s="28" t="n"/>
      <c r="E258" s="22" t="n"/>
      <c r="F258" s="23" t="n"/>
      <c r="G258" s="23" t="n"/>
      <c r="H258" s="23">
        <f>IF(F258="","",MAX(0,F258-N(G258)*N(E258)))</f>
        <v/>
      </c>
      <c r="I258" s="24" t="n">
        <v>0.52</v>
      </c>
      <c r="J258" s="25">
        <f>IF(H258="","",H258*N(I258)/15)</f>
        <v/>
      </c>
      <c r="K258" s="26" t="n"/>
      <c r="L258" s="26">
        <f>IF(J258="","",J258*N(K258))</f>
        <v/>
      </c>
    </row>
    <row r="259">
      <c r="A259" s="13" t="n"/>
      <c r="B259" s="14" t="n"/>
      <c r="C259" s="14" t="n"/>
      <c r="D259" s="27" t="n"/>
      <c r="E259" s="15" t="n"/>
      <c r="F259" s="16" t="n"/>
      <c r="G259" s="16" t="n"/>
      <c r="H259" s="16">
        <f>IF(F259="","",MAX(0,F259-N(G259)*N(E259)))</f>
        <v/>
      </c>
      <c r="I259" s="17" t="n">
        <v>0.52</v>
      </c>
      <c r="J259" s="18">
        <f>IF(H259="","",H259*N(I259)/15)</f>
        <v/>
      </c>
      <c r="K259" s="19" t="n"/>
      <c r="L259" s="19">
        <f>IF(J259="","",J259*N(K259))</f>
        <v/>
      </c>
    </row>
    <row r="260">
      <c r="A260" s="20" t="n"/>
      <c r="B260" s="21" t="n"/>
      <c r="C260" s="21" t="n"/>
      <c r="D260" s="28" t="n"/>
      <c r="E260" s="22" t="n"/>
      <c r="F260" s="23" t="n"/>
      <c r="G260" s="23" t="n"/>
      <c r="H260" s="23">
        <f>IF(F260="","",MAX(0,F260-N(G260)*N(E260)))</f>
        <v/>
      </c>
      <c r="I260" s="24" t="n">
        <v>0.52</v>
      </c>
      <c r="J260" s="25">
        <f>IF(H260="","",H260*N(I260)/15)</f>
        <v/>
      </c>
      <c r="K260" s="26" t="n"/>
      <c r="L260" s="26">
        <f>IF(J260="","",J260*N(K260))</f>
        <v/>
      </c>
    </row>
    <row r="261">
      <c r="A261" s="13" t="n"/>
      <c r="B261" s="14" t="n"/>
      <c r="C261" s="14" t="n"/>
      <c r="D261" s="27" t="n"/>
      <c r="E261" s="15" t="n"/>
      <c r="F261" s="16" t="n"/>
      <c r="G261" s="16" t="n"/>
      <c r="H261" s="16">
        <f>IF(F261="","",MAX(0,F261-N(G261)*N(E261)))</f>
        <v/>
      </c>
      <c r="I261" s="17" t="n">
        <v>0.52</v>
      </c>
      <c r="J261" s="18">
        <f>IF(H261="","",H261*N(I261)/15)</f>
        <v/>
      </c>
      <c r="K261" s="19" t="n"/>
      <c r="L261" s="19">
        <f>IF(J261="","",J261*N(K261))</f>
        <v/>
      </c>
    </row>
    <row r="262">
      <c r="A262" s="20" t="n"/>
      <c r="B262" s="21" t="n"/>
      <c r="C262" s="21" t="n"/>
      <c r="D262" s="28" t="n"/>
      <c r="E262" s="22" t="n"/>
      <c r="F262" s="23" t="n"/>
      <c r="G262" s="23" t="n"/>
      <c r="H262" s="23">
        <f>IF(F262="","",MAX(0,F262-N(G262)*N(E262)))</f>
        <v/>
      </c>
      <c r="I262" s="24" t="n">
        <v>0.52</v>
      </c>
      <c r="J262" s="25">
        <f>IF(H262="","",H262*N(I262)/15)</f>
        <v/>
      </c>
      <c r="K262" s="26" t="n"/>
      <c r="L262" s="26">
        <f>IF(J262="","",J262*N(K262))</f>
        <v/>
      </c>
    </row>
    <row r="263">
      <c r="A263" s="13" t="n"/>
      <c r="B263" s="14" t="n"/>
      <c r="C263" s="14" t="n"/>
      <c r="D263" s="27" t="n"/>
      <c r="E263" s="15" t="n"/>
      <c r="F263" s="16" t="n"/>
      <c r="G263" s="16" t="n"/>
      <c r="H263" s="16">
        <f>IF(F263="","",MAX(0,F263-N(G263)*N(E263)))</f>
        <v/>
      </c>
      <c r="I263" s="17" t="n">
        <v>0.52</v>
      </c>
      <c r="J263" s="18">
        <f>IF(H263="","",H263*N(I263)/15)</f>
        <v/>
      </c>
      <c r="K263" s="19" t="n"/>
      <c r="L263" s="19">
        <f>IF(J263="","",J263*N(K263))</f>
        <v/>
      </c>
    </row>
    <row r="264">
      <c r="A264" s="20" t="n"/>
      <c r="B264" s="21" t="n"/>
      <c r="C264" s="21" t="n"/>
      <c r="D264" s="28" t="n"/>
      <c r="E264" s="22" t="n"/>
      <c r="F264" s="23" t="n"/>
      <c r="G264" s="23" t="n"/>
      <c r="H264" s="23">
        <f>IF(F264="","",MAX(0,F264-N(G264)*N(E264)))</f>
        <v/>
      </c>
      <c r="I264" s="24" t="n">
        <v>0.52</v>
      </c>
      <c r="J264" s="25">
        <f>IF(H264="","",H264*N(I264)/15)</f>
        <v/>
      </c>
      <c r="K264" s="26" t="n"/>
      <c r="L264" s="26">
        <f>IF(J264="","",J264*N(K264))</f>
        <v/>
      </c>
    </row>
    <row r="265">
      <c r="A265" s="13" t="n"/>
      <c r="B265" s="14" t="n"/>
      <c r="C265" s="14" t="n"/>
      <c r="D265" s="27" t="n"/>
      <c r="E265" s="15" t="n"/>
      <c r="F265" s="16" t="n"/>
      <c r="G265" s="16" t="n"/>
      <c r="H265" s="16">
        <f>IF(F265="","",MAX(0,F265-N(G265)*N(E265)))</f>
        <v/>
      </c>
      <c r="I265" s="17" t="n">
        <v>0.52</v>
      </c>
      <c r="J265" s="18">
        <f>IF(H265="","",H265*N(I265)/15)</f>
        <v/>
      </c>
      <c r="K265" s="19" t="n"/>
      <c r="L265" s="19">
        <f>IF(J265="","",J265*N(K265))</f>
        <v/>
      </c>
    </row>
    <row r="266">
      <c r="A266" s="20" t="n"/>
      <c r="B266" s="21" t="n"/>
      <c r="C266" s="21" t="n"/>
      <c r="D266" s="28" t="n"/>
      <c r="E266" s="22" t="n"/>
      <c r="F266" s="23" t="n"/>
      <c r="G266" s="23" t="n"/>
      <c r="H266" s="23">
        <f>IF(F266="","",MAX(0,F266-N(G266)*N(E266)))</f>
        <v/>
      </c>
      <c r="I266" s="24" t="n">
        <v>0.52</v>
      </c>
      <c r="J266" s="25">
        <f>IF(H266="","",H266*N(I266)/15)</f>
        <v/>
      </c>
      <c r="K266" s="26" t="n"/>
      <c r="L266" s="26">
        <f>IF(J266="","",J266*N(K266))</f>
        <v/>
      </c>
    </row>
    <row r="267">
      <c r="A267" s="13" t="n"/>
      <c r="B267" s="14" t="n"/>
      <c r="C267" s="14" t="n"/>
      <c r="D267" s="27" t="n"/>
      <c r="E267" s="15" t="n"/>
      <c r="F267" s="16" t="n"/>
      <c r="G267" s="16" t="n"/>
      <c r="H267" s="16">
        <f>IF(F267="","",MAX(0,F267-N(G267)*N(E267)))</f>
        <v/>
      </c>
      <c r="I267" s="17" t="n">
        <v>0.52</v>
      </c>
      <c r="J267" s="18">
        <f>IF(H267="","",H267*N(I267)/15)</f>
        <v/>
      </c>
      <c r="K267" s="19" t="n"/>
      <c r="L267" s="19">
        <f>IF(J267="","",J267*N(K267))</f>
        <v/>
      </c>
    </row>
    <row r="268">
      <c r="A268" s="20" t="n"/>
      <c r="B268" s="21" t="n"/>
      <c r="C268" s="21" t="n"/>
      <c r="D268" s="28" t="n"/>
      <c r="E268" s="22" t="n"/>
      <c r="F268" s="23" t="n"/>
      <c r="G268" s="23" t="n"/>
      <c r="H268" s="23">
        <f>IF(F268="","",MAX(0,F268-N(G268)*N(E268)))</f>
        <v/>
      </c>
      <c r="I268" s="24" t="n">
        <v>0.52</v>
      </c>
      <c r="J268" s="25">
        <f>IF(H268="","",H268*N(I268)/15)</f>
        <v/>
      </c>
      <c r="K268" s="26" t="n"/>
      <c r="L268" s="26">
        <f>IF(J268="","",J268*N(K268))</f>
        <v/>
      </c>
    </row>
    <row r="269">
      <c r="A269" s="13" t="n"/>
      <c r="B269" s="14" t="n"/>
      <c r="C269" s="14" t="n"/>
      <c r="D269" s="27" t="n"/>
      <c r="E269" s="15" t="n"/>
      <c r="F269" s="16" t="n"/>
      <c r="G269" s="16" t="n"/>
      <c r="H269" s="16">
        <f>IF(F269="","",MAX(0,F269-N(G269)*N(E269)))</f>
        <v/>
      </c>
      <c r="I269" s="17" t="n">
        <v>0.52</v>
      </c>
      <c r="J269" s="18">
        <f>IF(H269="","",H269*N(I269)/15)</f>
        <v/>
      </c>
      <c r="K269" s="19" t="n"/>
      <c r="L269" s="19">
        <f>IF(J269="","",J269*N(K269))</f>
        <v/>
      </c>
    </row>
    <row r="270">
      <c r="A270" s="20" t="n"/>
      <c r="B270" s="21" t="n"/>
      <c r="C270" s="21" t="n"/>
      <c r="D270" s="28" t="n"/>
      <c r="E270" s="22" t="n"/>
      <c r="F270" s="23" t="n"/>
      <c r="G270" s="23" t="n"/>
      <c r="H270" s="23">
        <f>IF(F270="","",MAX(0,F270-N(G270)*N(E270)))</f>
        <v/>
      </c>
      <c r="I270" s="24" t="n">
        <v>0.52</v>
      </c>
      <c r="J270" s="25">
        <f>IF(H270="","",H270*N(I270)/15)</f>
        <v/>
      </c>
      <c r="K270" s="26" t="n"/>
      <c r="L270" s="26">
        <f>IF(J270="","",J270*N(K270))</f>
        <v/>
      </c>
    </row>
    <row r="271">
      <c r="A271" s="13" t="n"/>
      <c r="B271" s="14" t="n"/>
      <c r="C271" s="14" t="n"/>
      <c r="D271" s="27" t="n"/>
      <c r="E271" s="15" t="n"/>
      <c r="F271" s="16" t="n"/>
      <c r="G271" s="16" t="n"/>
      <c r="H271" s="16">
        <f>IF(F271="","",MAX(0,F271-N(G271)*N(E271)))</f>
        <v/>
      </c>
      <c r="I271" s="17" t="n">
        <v>0.52</v>
      </c>
      <c r="J271" s="18">
        <f>IF(H271="","",H271*N(I271)/15)</f>
        <v/>
      </c>
      <c r="K271" s="19" t="n"/>
      <c r="L271" s="19">
        <f>IF(J271="","",J271*N(K271))</f>
        <v/>
      </c>
    </row>
    <row r="272">
      <c r="A272" s="20" t="n"/>
      <c r="B272" s="21" t="n"/>
      <c r="C272" s="21" t="n"/>
      <c r="D272" s="28" t="n"/>
      <c r="E272" s="22" t="n"/>
      <c r="F272" s="23" t="n"/>
      <c r="G272" s="23" t="n"/>
      <c r="H272" s="23">
        <f>IF(F272="","",MAX(0,F272-N(G272)*N(E272)))</f>
        <v/>
      </c>
      <c r="I272" s="24" t="n">
        <v>0.52</v>
      </c>
      <c r="J272" s="25">
        <f>IF(H272="","",H272*N(I272)/15)</f>
        <v/>
      </c>
      <c r="K272" s="26" t="n"/>
      <c r="L272" s="26">
        <f>IF(J272="","",J272*N(K272))</f>
        <v/>
      </c>
    </row>
    <row r="273">
      <c r="A273" s="13" t="n"/>
      <c r="B273" s="14" t="n"/>
      <c r="C273" s="14" t="n"/>
      <c r="D273" s="27" t="n"/>
      <c r="E273" s="15" t="n"/>
      <c r="F273" s="16" t="n"/>
      <c r="G273" s="16" t="n"/>
      <c r="H273" s="16">
        <f>IF(F273="","",MAX(0,F273-N(G273)*N(E273)))</f>
        <v/>
      </c>
      <c r="I273" s="17" t="n">
        <v>0.52</v>
      </c>
      <c r="J273" s="18">
        <f>IF(H273="","",H273*N(I273)/15)</f>
        <v/>
      </c>
      <c r="K273" s="19" t="n"/>
      <c r="L273" s="19">
        <f>IF(J273="","",J273*N(K273))</f>
        <v/>
      </c>
    </row>
    <row r="274">
      <c r="A274" s="20" t="n"/>
      <c r="B274" s="21" t="n"/>
      <c r="C274" s="21" t="n"/>
      <c r="D274" s="28" t="n"/>
      <c r="E274" s="22" t="n"/>
      <c r="F274" s="23" t="n"/>
      <c r="G274" s="23" t="n"/>
      <c r="H274" s="23">
        <f>IF(F274="","",MAX(0,F274-N(G274)*N(E274)))</f>
        <v/>
      </c>
      <c r="I274" s="24" t="n">
        <v>0.52</v>
      </c>
      <c r="J274" s="25">
        <f>IF(H274="","",H274*N(I274)/15)</f>
        <v/>
      </c>
      <c r="K274" s="26" t="n"/>
      <c r="L274" s="26">
        <f>IF(J274="","",J274*N(K274))</f>
        <v/>
      </c>
    </row>
    <row r="275">
      <c r="A275" s="13" t="n"/>
      <c r="B275" s="14" t="n"/>
      <c r="C275" s="14" t="n"/>
      <c r="D275" s="27" t="n"/>
      <c r="E275" s="15" t="n"/>
      <c r="F275" s="16" t="n"/>
      <c r="G275" s="16" t="n"/>
      <c r="H275" s="16">
        <f>IF(F275="","",MAX(0,F275-N(G275)*N(E275)))</f>
        <v/>
      </c>
      <c r="I275" s="17" t="n">
        <v>0.52</v>
      </c>
      <c r="J275" s="18">
        <f>IF(H275="","",H275*N(I275)/15)</f>
        <v/>
      </c>
      <c r="K275" s="19" t="n"/>
      <c r="L275" s="19">
        <f>IF(J275="","",J275*N(K275))</f>
        <v/>
      </c>
    </row>
    <row r="276">
      <c r="A276" s="20" t="n"/>
      <c r="B276" s="21" t="n"/>
      <c r="C276" s="21" t="n"/>
      <c r="D276" s="28" t="n"/>
      <c r="E276" s="22" t="n"/>
      <c r="F276" s="23" t="n"/>
      <c r="G276" s="23" t="n"/>
      <c r="H276" s="23">
        <f>IF(F276="","",MAX(0,F276-N(G276)*N(E276)))</f>
        <v/>
      </c>
      <c r="I276" s="24" t="n">
        <v>0.52</v>
      </c>
      <c r="J276" s="25">
        <f>IF(H276="","",H276*N(I276)/15)</f>
        <v/>
      </c>
      <c r="K276" s="26" t="n"/>
      <c r="L276" s="26">
        <f>IF(J276="","",J276*N(K276))</f>
        <v/>
      </c>
    </row>
    <row r="277">
      <c r="A277" s="13" t="n"/>
      <c r="B277" s="14" t="n"/>
      <c r="C277" s="14" t="n"/>
      <c r="D277" s="27" t="n"/>
      <c r="E277" s="15" t="n"/>
      <c r="F277" s="16" t="n"/>
      <c r="G277" s="16" t="n"/>
      <c r="H277" s="16">
        <f>IF(F277="","",MAX(0,F277-N(G277)*N(E277)))</f>
        <v/>
      </c>
      <c r="I277" s="17" t="n">
        <v>0.52</v>
      </c>
      <c r="J277" s="18">
        <f>IF(H277="","",H277*N(I277)/15)</f>
        <v/>
      </c>
      <c r="K277" s="19" t="n"/>
      <c r="L277" s="19">
        <f>IF(J277="","",J277*N(K277))</f>
        <v/>
      </c>
    </row>
    <row r="278">
      <c r="A278" s="20" t="n"/>
      <c r="B278" s="21" t="n"/>
      <c r="C278" s="21" t="n"/>
      <c r="D278" s="28" t="n"/>
      <c r="E278" s="22" t="n"/>
      <c r="F278" s="23" t="n"/>
      <c r="G278" s="23" t="n"/>
      <c r="H278" s="23">
        <f>IF(F278="","",MAX(0,F278-N(G278)*N(E278)))</f>
        <v/>
      </c>
      <c r="I278" s="24" t="n">
        <v>0.52</v>
      </c>
      <c r="J278" s="25">
        <f>IF(H278="","",H278*N(I278)/15)</f>
        <v/>
      </c>
      <c r="K278" s="26" t="n"/>
      <c r="L278" s="26">
        <f>IF(J278="","",J278*N(K278))</f>
        <v/>
      </c>
    </row>
    <row r="279">
      <c r="A279" s="13" t="n"/>
      <c r="B279" s="14" t="n"/>
      <c r="C279" s="14" t="n"/>
      <c r="D279" s="27" t="n"/>
      <c r="E279" s="15" t="n"/>
      <c r="F279" s="16" t="n"/>
      <c r="G279" s="16" t="n"/>
      <c r="H279" s="16">
        <f>IF(F279="","",MAX(0,F279-N(G279)*N(E279)))</f>
        <v/>
      </c>
      <c r="I279" s="17" t="n">
        <v>0.52</v>
      </c>
      <c r="J279" s="18">
        <f>IF(H279="","",H279*N(I279)/15)</f>
        <v/>
      </c>
      <c r="K279" s="19" t="n"/>
      <c r="L279" s="19">
        <f>IF(J279="","",J279*N(K279))</f>
        <v/>
      </c>
    </row>
    <row r="280">
      <c r="A280" s="20" t="n"/>
      <c r="B280" s="21" t="n"/>
      <c r="C280" s="21" t="n"/>
      <c r="D280" s="28" t="n"/>
      <c r="E280" s="22" t="n"/>
      <c r="F280" s="23" t="n"/>
      <c r="G280" s="23" t="n"/>
      <c r="H280" s="23">
        <f>IF(F280="","",MAX(0,F280-N(G280)*N(E280)))</f>
        <v/>
      </c>
      <c r="I280" s="24" t="n">
        <v>0.52</v>
      </c>
      <c r="J280" s="25">
        <f>IF(H280="","",H280*N(I280)/15)</f>
        <v/>
      </c>
      <c r="K280" s="26" t="n"/>
      <c r="L280" s="26">
        <f>IF(J280="","",J280*N(K280))</f>
        <v/>
      </c>
    </row>
    <row r="281">
      <c r="A281" s="13" t="n"/>
      <c r="B281" s="14" t="n"/>
      <c r="C281" s="14" t="n"/>
      <c r="D281" s="27" t="n"/>
      <c r="E281" s="15" t="n"/>
      <c r="F281" s="16" t="n"/>
      <c r="G281" s="16" t="n"/>
      <c r="H281" s="16">
        <f>IF(F281="","",MAX(0,F281-N(G281)*N(E281)))</f>
        <v/>
      </c>
      <c r="I281" s="17" t="n">
        <v>0.52</v>
      </c>
      <c r="J281" s="18">
        <f>IF(H281="","",H281*N(I281)/15)</f>
        <v/>
      </c>
      <c r="K281" s="19" t="n"/>
      <c r="L281" s="19">
        <f>IF(J281="","",J281*N(K281))</f>
        <v/>
      </c>
    </row>
    <row r="282">
      <c r="A282" s="20" t="n"/>
      <c r="B282" s="21" t="n"/>
      <c r="C282" s="21" t="n"/>
      <c r="D282" s="28" t="n"/>
      <c r="E282" s="22" t="n"/>
      <c r="F282" s="23" t="n"/>
      <c r="G282" s="23" t="n"/>
      <c r="H282" s="23">
        <f>IF(F282="","",MAX(0,F282-N(G282)*N(E282)))</f>
        <v/>
      </c>
      <c r="I282" s="24" t="n">
        <v>0.52</v>
      </c>
      <c r="J282" s="25">
        <f>IF(H282="","",H282*N(I282)/15)</f>
        <v/>
      </c>
      <c r="K282" s="26" t="n"/>
      <c r="L282" s="26">
        <f>IF(J282="","",J282*N(K282))</f>
        <v/>
      </c>
    </row>
    <row r="283">
      <c r="A283" s="13" t="n"/>
      <c r="B283" s="14" t="n"/>
      <c r="C283" s="14" t="n"/>
      <c r="D283" s="27" t="n"/>
      <c r="E283" s="15" t="n"/>
      <c r="F283" s="16" t="n"/>
      <c r="G283" s="16" t="n"/>
      <c r="H283" s="16">
        <f>IF(F283="","",MAX(0,F283-N(G283)*N(E283)))</f>
        <v/>
      </c>
      <c r="I283" s="17" t="n">
        <v>0.52</v>
      </c>
      <c r="J283" s="18">
        <f>IF(H283="","",H283*N(I283)/15)</f>
        <v/>
      </c>
      <c r="K283" s="19" t="n"/>
      <c r="L283" s="19">
        <f>IF(J283="","",J283*N(K283))</f>
        <v/>
      </c>
    </row>
    <row r="284">
      <c r="A284" s="20" t="n"/>
      <c r="B284" s="21" t="n"/>
      <c r="C284" s="21" t="n"/>
      <c r="D284" s="28" t="n"/>
      <c r="E284" s="22" t="n"/>
      <c r="F284" s="23" t="n"/>
      <c r="G284" s="23" t="n"/>
      <c r="H284" s="23">
        <f>IF(F284="","",MAX(0,F284-N(G284)*N(E284)))</f>
        <v/>
      </c>
      <c r="I284" s="24" t="n">
        <v>0.52</v>
      </c>
      <c r="J284" s="25">
        <f>IF(H284="","",H284*N(I284)/15)</f>
        <v/>
      </c>
      <c r="K284" s="26" t="n"/>
      <c r="L284" s="26">
        <f>IF(J284="","",J284*N(K284))</f>
        <v/>
      </c>
    </row>
    <row r="285">
      <c r="A285" s="13" t="n"/>
      <c r="B285" s="14" t="n"/>
      <c r="C285" s="14" t="n"/>
      <c r="D285" s="27" t="n"/>
      <c r="E285" s="15" t="n"/>
      <c r="F285" s="16" t="n"/>
      <c r="G285" s="16" t="n"/>
      <c r="H285" s="16">
        <f>IF(F285="","",MAX(0,F285-N(G285)*N(E285)))</f>
        <v/>
      </c>
      <c r="I285" s="17" t="n">
        <v>0.52</v>
      </c>
      <c r="J285" s="18">
        <f>IF(H285="","",H285*N(I285)/15)</f>
        <v/>
      </c>
      <c r="K285" s="19" t="n"/>
      <c r="L285" s="19">
        <f>IF(J285="","",J285*N(K285))</f>
        <v/>
      </c>
    </row>
    <row r="286">
      <c r="A286" s="20" t="n"/>
      <c r="B286" s="21" t="n"/>
      <c r="C286" s="21" t="n"/>
      <c r="D286" s="28" t="n"/>
      <c r="E286" s="22" t="n"/>
      <c r="F286" s="23" t="n"/>
      <c r="G286" s="23" t="n"/>
      <c r="H286" s="23">
        <f>IF(F286="","",MAX(0,F286-N(G286)*N(E286)))</f>
        <v/>
      </c>
      <c r="I286" s="24" t="n">
        <v>0.52</v>
      </c>
      <c r="J286" s="25">
        <f>IF(H286="","",H286*N(I286)/15)</f>
        <v/>
      </c>
      <c r="K286" s="26" t="n"/>
      <c r="L286" s="26">
        <f>IF(J286="","",J286*N(K286))</f>
        <v/>
      </c>
    </row>
    <row r="287">
      <c r="A287" s="13" t="n"/>
      <c r="B287" s="14" t="n"/>
      <c r="C287" s="14" t="n"/>
      <c r="D287" s="27" t="n"/>
      <c r="E287" s="15" t="n"/>
      <c r="F287" s="16" t="n"/>
      <c r="G287" s="16" t="n"/>
      <c r="H287" s="16">
        <f>IF(F287="","",MAX(0,F287-N(G287)*N(E287)))</f>
        <v/>
      </c>
      <c r="I287" s="17" t="n">
        <v>0.52</v>
      </c>
      <c r="J287" s="18">
        <f>IF(H287="","",H287*N(I287)/15)</f>
        <v/>
      </c>
      <c r="K287" s="19" t="n"/>
      <c r="L287" s="19">
        <f>IF(J287="","",J287*N(K287))</f>
        <v/>
      </c>
    </row>
    <row r="288">
      <c r="A288" s="20" t="n"/>
      <c r="B288" s="21" t="n"/>
      <c r="C288" s="21" t="n"/>
      <c r="D288" s="28" t="n"/>
      <c r="E288" s="22" t="n"/>
      <c r="F288" s="23" t="n"/>
      <c r="G288" s="23" t="n"/>
      <c r="H288" s="23">
        <f>IF(F288="","",MAX(0,F288-N(G288)*N(E288)))</f>
        <v/>
      </c>
      <c r="I288" s="24" t="n">
        <v>0.52</v>
      </c>
      <c r="J288" s="25">
        <f>IF(H288="","",H288*N(I288)/15)</f>
        <v/>
      </c>
      <c r="K288" s="26" t="n"/>
      <c r="L288" s="26">
        <f>IF(J288="","",J288*N(K288))</f>
        <v/>
      </c>
    </row>
    <row r="289">
      <c r="A289" s="13" t="n"/>
      <c r="B289" s="14" t="n"/>
      <c r="C289" s="14" t="n"/>
      <c r="D289" s="27" t="n"/>
      <c r="E289" s="15" t="n"/>
      <c r="F289" s="16" t="n"/>
      <c r="G289" s="16" t="n"/>
      <c r="H289" s="16">
        <f>IF(F289="","",MAX(0,F289-N(G289)*N(E289)))</f>
        <v/>
      </c>
      <c r="I289" s="17" t="n">
        <v>0.52</v>
      </c>
      <c r="J289" s="18">
        <f>IF(H289="","",H289*N(I289)/15)</f>
        <v/>
      </c>
      <c r="K289" s="19" t="n"/>
      <c r="L289" s="19">
        <f>IF(J289="","",J289*N(K289))</f>
        <v/>
      </c>
    </row>
    <row r="290">
      <c r="A290" s="20" t="n"/>
      <c r="B290" s="21" t="n"/>
      <c r="C290" s="21" t="n"/>
      <c r="D290" s="28" t="n"/>
      <c r="E290" s="22" t="n"/>
      <c r="F290" s="23" t="n"/>
      <c r="G290" s="23" t="n"/>
      <c r="H290" s="23">
        <f>IF(F290="","",MAX(0,F290-N(G290)*N(E290)))</f>
        <v/>
      </c>
      <c r="I290" s="24" t="n">
        <v>0.52</v>
      </c>
      <c r="J290" s="25">
        <f>IF(H290="","",H290*N(I290)/15)</f>
        <v/>
      </c>
      <c r="K290" s="26" t="n"/>
      <c r="L290" s="26">
        <f>IF(J290="","",J290*N(K290))</f>
        <v/>
      </c>
    </row>
    <row r="291">
      <c r="A291" s="13" t="n"/>
      <c r="B291" s="14" t="n"/>
      <c r="C291" s="14" t="n"/>
      <c r="D291" s="27" t="n"/>
      <c r="E291" s="15" t="n"/>
      <c r="F291" s="16" t="n"/>
      <c r="G291" s="16" t="n"/>
      <c r="H291" s="16">
        <f>IF(F291="","",MAX(0,F291-N(G291)*N(E291)))</f>
        <v/>
      </c>
      <c r="I291" s="17" t="n">
        <v>0.52</v>
      </c>
      <c r="J291" s="18">
        <f>IF(H291="","",H291*N(I291)/15)</f>
        <v/>
      </c>
      <c r="K291" s="19" t="n"/>
      <c r="L291" s="19">
        <f>IF(J291="","",J291*N(K291))</f>
        <v/>
      </c>
    </row>
    <row r="292">
      <c r="A292" s="20" t="n"/>
      <c r="B292" s="21" t="n"/>
      <c r="C292" s="21" t="n"/>
      <c r="D292" s="28" t="n"/>
      <c r="E292" s="22" t="n"/>
      <c r="F292" s="23" t="n"/>
      <c r="G292" s="23" t="n"/>
      <c r="H292" s="23">
        <f>IF(F292="","",MAX(0,F292-N(G292)*N(E292)))</f>
        <v/>
      </c>
      <c r="I292" s="24" t="n">
        <v>0.52</v>
      </c>
      <c r="J292" s="25">
        <f>IF(H292="","",H292*N(I292)/15)</f>
        <v/>
      </c>
      <c r="K292" s="26" t="n"/>
      <c r="L292" s="26">
        <f>IF(J292="","",J292*N(K292))</f>
        <v/>
      </c>
    </row>
    <row r="293">
      <c r="A293" s="13" t="n"/>
      <c r="B293" s="14" t="n"/>
      <c r="C293" s="14" t="n"/>
      <c r="D293" s="27" t="n"/>
      <c r="E293" s="15" t="n"/>
      <c r="F293" s="16" t="n"/>
      <c r="G293" s="16" t="n"/>
      <c r="H293" s="16">
        <f>IF(F293="","",MAX(0,F293-N(G293)*N(E293)))</f>
        <v/>
      </c>
      <c r="I293" s="17" t="n">
        <v>0.52</v>
      </c>
      <c r="J293" s="18">
        <f>IF(H293="","",H293*N(I293)/15)</f>
        <v/>
      </c>
      <c r="K293" s="19" t="n"/>
      <c r="L293" s="19">
        <f>IF(J293="","",J293*N(K293))</f>
        <v/>
      </c>
    </row>
    <row r="294">
      <c r="A294" s="20" t="n"/>
      <c r="B294" s="21" t="n"/>
      <c r="C294" s="21" t="n"/>
      <c r="D294" s="28" t="n"/>
      <c r="E294" s="22" t="n"/>
      <c r="F294" s="23" t="n"/>
      <c r="G294" s="23" t="n"/>
      <c r="H294" s="23">
        <f>IF(F294="","",MAX(0,F294-N(G294)*N(E294)))</f>
        <v/>
      </c>
      <c r="I294" s="24" t="n">
        <v>0.52</v>
      </c>
      <c r="J294" s="25">
        <f>IF(H294="","",H294*N(I294)/15)</f>
        <v/>
      </c>
      <c r="K294" s="26" t="n"/>
      <c r="L294" s="26">
        <f>IF(J294="","",J294*N(K294))</f>
        <v/>
      </c>
    </row>
    <row r="295">
      <c r="A295" s="13" t="n"/>
      <c r="B295" s="14" t="n"/>
      <c r="C295" s="14" t="n"/>
      <c r="D295" s="27" t="n"/>
      <c r="E295" s="15" t="n"/>
      <c r="F295" s="16" t="n"/>
      <c r="G295" s="16" t="n"/>
      <c r="H295" s="16">
        <f>IF(F295="","",MAX(0,F295-N(G295)*N(E295)))</f>
        <v/>
      </c>
      <c r="I295" s="17" t="n">
        <v>0.52</v>
      </c>
      <c r="J295" s="18">
        <f>IF(H295="","",H295*N(I295)/15)</f>
        <v/>
      </c>
      <c r="K295" s="19" t="n"/>
      <c r="L295" s="19">
        <f>IF(J295="","",J295*N(K295))</f>
        <v/>
      </c>
    </row>
    <row r="296">
      <c r="A296" s="20" t="n"/>
      <c r="B296" s="21" t="n"/>
      <c r="C296" s="21" t="n"/>
      <c r="D296" s="28" t="n"/>
      <c r="E296" s="22" t="n"/>
      <c r="F296" s="23" t="n"/>
      <c r="G296" s="23" t="n"/>
      <c r="H296" s="23">
        <f>IF(F296="","",MAX(0,F296-N(G296)*N(E296)))</f>
        <v/>
      </c>
      <c r="I296" s="24" t="n">
        <v>0.52</v>
      </c>
      <c r="J296" s="25">
        <f>IF(H296="","",H296*N(I296)/15)</f>
        <v/>
      </c>
      <c r="K296" s="26" t="n"/>
      <c r="L296" s="26">
        <f>IF(J296="","",J296*N(K296))</f>
        <v/>
      </c>
    </row>
    <row r="297">
      <c r="A297" s="13" t="n"/>
      <c r="B297" s="14" t="n"/>
      <c r="C297" s="14" t="n"/>
      <c r="D297" s="27" t="n"/>
      <c r="E297" s="15" t="n"/>
      <c r="F297" s="16" t="n"/>
      <c r="G297" s="16" t="n"/>
      <c r="H297" s="16">
        <f>IF(F297="","",MAX(0,F297-N(G297)*N(E297)))</f>
        <v/>
      </c>
      <c r="I297" s="17" t="n">
        <v>0.52</v>
      </c>
      <c r="J297" s="18">
        <f>IF(H297="","",H297*N(I297)/15)</f>
        <v/>
      </c>
      <c r="K297" s="19" t="n"/>
      <c r="L297" s="19">
        <f>IF(J297="","",J297*N(K297))</f>
        <v/>
      </c>
    </row>
    <row r="298">
      <c r="A298" s="20" t="n"/>
      <c r="B298" s="21" t="n"/>
      <c r="C298" s="21" t="n"/>
      <c r="D298" s="28" t="n"/>
      <c r="E298" s="22" t="n"/>
      <c r="F298" s="23" t="n"/>
      <c r="G298" s="23" t="n"/>
      <c r="H298" s="23">
        <f>IF(F298="","",MAX(0,F298-N(G298)*N(E298)))</f>
        <v/>
      </c>
      <c r="I298" s="24" t="n">
        <v>0.52</v>
      </c>
      <c r="J298" s="25">
        <f>IF(H298="","",H298*N(I298)/15)</f>
        <v/>
      </c>
      <c r="K298" s="26" t="n"/>
      <c r="L298" s="26">
        <f>IF(J298="","",J298*N(K298))</f>
        <v/>
      </c>
    </row>
    <row r="299">
      <c r="A299" s="13" t="n"/>
      <c r="B299" s="14" t="n"/>
      <c r="C299" s="14" t="n"/>
      <c r="D299" s="27" t="n"/>
      <c r="E299" s="15" t="n"/>
      <c r="F299" s="16" t="n"/>
      <c r="G299" s="16" t="n"/>
      <c r="H299" s="16">
        <f>IF(F299="","",MAX(0,F299-N(G299)*N(E299)))</f>
        <v/>
      </c>
      <c r="I299" s="17" t="n">
        <v>0.52</v>
      </c>
      <c r="J299" s="18">
        <f>IF(H299="","",H299*N(I299)/15)</f>
        <v/>
      </c>
      <c r="K299" s="19" t="n"/>
      <c r="L299" s="19">
        <f>IF(J299="","",J299*N(K299))</f>
        <v/>
      </c>
    </row>
    <row r="300">
      <c r="A300" s="20" t="n"/>
      <c r="B300" s="21" t="n"/>
      <c r="C300" s="21" t="n"/>
      <c r="D300" s="28" t="n"/>
      <c r="E300" s="22" t="n"/>
      <c r="F300" s="23" t="n"/>
      <c r="G300" s="23" t="n"/>
      <c r="H300" s="23">
        <f>IF(F300="","",MAX(0,F300-N(G300)*N(E300)))</f>
        <v/>
      </c>
      <c r="I300" s="24" t="n">
        <v>0.52</v>
      </c>
      <c r="J300" s="25">
        <f>IF(H300="","",H300*N(I300)/15)</f>
        <v/>
      </c>
      <c r="K300" s="26" t="n"/>
      <c r="L300" s="26">
        <f>IF(J300="","",J300*N(K300))</f>
        <v/>
      </c>
    </row>
    <row r="301">
      <c r="A301" s="13" t="n"/>
      <c r="B301" s="14" t="n"/>
      <c r="C301" s="14" t="n"/>
      <c r="D301" s="27" t="n"/>
      <c r="E301" s="15" t="n"/>
      <c r="F301" s="16" t="n"/>
      <c r="G301" s="16" t="n"/>
      <c r="H301" s="16">
        <f>IF(F301="","",MAX(0,F301-N(G301)*N(E301)))</f>
        <v/>
      </c>
      <c r="I301" s="17" t="n">
        <v>0.52</v>
      </c>
      <c r="J301" s="18">
        <f>IF(H301="","",H301*N(I301)/15)</f>
        <v/>
      </c>
      <c r="K301" s="19" t="n"/>
      <c r="L301" s="19">
        <f>IF(J301="","",J301*N(K301))</f>
        <v/>
      </c>
    </row>
    <row r="302">
      <c r="A302" s="20" t="n"/>
      <c r="B302" s="21" t="n"/>
      <c r="C302" s="21" t="n"/>
      <c r="D302" s="28" t="n"/>
      <c r="E302" s="22" t="n"/>
      <c r="F302" s="23" t="n"/>
      <c r="G302" s="23" t="n"/>
      <c r="H302" s="23">
        <f>IF(F302="","",MAX(0,F302-N(G302)*N(E302)))</f>
        <v/>
      </c>
      <c r="I302" s="24" t="n">
        <v>0.52</v>
      </c>
      <c r="J302" s="25">
        <f>IF(H302="","",H302*N(I302)/15)</f>
        <v/>
      </c>
      <c r="K302" s="26" t="n"/>
      <c r="L302" s="26">
        <f>IF(J302="","",J302*N(K302))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30" customWidth="1" min="12" max="12"/>
  </cols>
  <sheetData>
    <row r="1" ht="30" customHeight="1">
      <c r="A1" s="1" t="inlineStr">
        <is>
          <t>📤 VENDAS — gado que saiu</t>
        </is>
      </c>
    </row>
    <row r="2" ht="30" customHeight="1">
      <c r="A2" s="12" t="inlineStr">
        <is>
          <t>DATA</t>
        </is>
      </c>
      <c r="B2" s="12" t="inlineStr">
        <is>
          <t>LOTE</t>
        </is>
      </c>
      <c r="C2" s="12" t="inlineStr">
        <is>
          <t>COMPRADOR</t>
        </is>
      </c>
      <c r="D2" s="12" t="inlineStr">
        <is>
          <t>CABEÇAS</t>
        </is>
      </c>
      <c r="E2" s="12" t="inlineStr">
        <is>
          <t>PESO NA BALANÇA</t>
        </is>
      </c>
      <c r="F2" s="12" t="inlineStr">
        <is>
          <t>RENDIMENTO</t>
        </is>
      </c>
      <c r="G2" s="12" t="inlineStr">
        <is>
          <t>ARROBAS</t>
        </is>
      </c>
      <c r="H2" s="12" t="inlineStr">
        <is>
          <t>R$/@</t>
        </is>
      </c>
      <c r="I2" s="12" t="inlineStr">
        <is>
          <t>VALOR BRUTO</t>
        </is>
      </c>
      <c r="J2" s="12" t="inlineStr">
        <is>
          <t>FRETE + COMISSÃO</t>
        </is>
      </c>
      <c r="K2" s="12" t="inlineStr">
        <is>
          <t>VALOR LÍQUIDO</t>
        </is>
      </c>
      <c r="L2" s="12" t="inlineStr">
        <is>
          <t>OBSERVAÇÃO</t>
        </is>
      </c>
    </row>
    <row r="3">
      <c r="A3" s="13" t="n"/>
      <c r="B3" s="14" t="n"/>
      <c r="C3" s="14" t="n"/>
      <c r="D3" s="15" t="n"/>
      <c r="E3" s="16" t="n"/>
      <c r="F3" s="17" t="n">
        <v>0.52</v>
      </c>
      <c r="G3" s="18">
        <f>IF(E3="","",E3*F3/15)</f>
        <v/>
      </c>
      <c r="H3" s="19" t="n"/>
      <c r="I3" s="19">
        <f>IF(G3="","",G3*H3)</f>
        <v/>
      </c>
      <c r="J3" s="19" t="n"/>
      <c r="K3" s="19">
        <f>IF(I3="","",I3-N(J3))</f>
        <v/>
      </c>
      <c r="L3" s="14" t="n"/>
    </row>
    <row r="4">
      <c r="A4" s="20" t="n"/>
      <c r="B4" s="21" t="n"/>
      <c r="C4" s="21" t="n"/>
      <c r="D4" s="22" t="n"/>
      <c r="E4" s="23" t="n"/>
      <c r="F4" s="24" t="n">
        <v>0.52</v>
      </c>
      <c r="G4" s="25">
        <f>IF(E4="","",E4*F4/15)</f>
        <v/>
      </c>
      <c r="H4" s="26" t="n"/>
      <c r="I4" s="26">
        <f>IF(G4="","",G4*H4)</f>
        <v/>
      </c>
      <c r="J4" s="26" t="n"/>
      <c r="K4" s="26">
        <f>IF(I4="","",I4-N(J4))</f>
        <v/>
      </c>
      <c r="L4" s="21" t="n"/>
    </row>
    <row r="5">
      <c r="A5" s="13" t="n"/>
      <c r="B5" s="14" t="n"/>
      <c r="C5" s="14" t="n"/>
      <c r="D5" s="15" t="n"/>
      <c r="E5" s="16" t="n"/>
      <c r="F5" s="17" t="n">
        <v>0.52</v>
      </c>
      <c r="G5" s="18">
        <f>IF(E5="","",E5*F5/15)</f>
        <v/>
      </c>
      <c r="H5" s="19" t="n"/>
      <c r="I5" s="19">
        <f>IF(G5="","",G5*H5)</f>
        <v/>
      </c>
      <c r="J5" s="19" t="n"/>
      <c r="K5" s="19">
        <f>IF(I5="","",I5-N(J5))</f>
        <v/>
      </c>
      <c r="L5" s="14" t="n"/>
    </row>
    <row r="6">
      <c r="A6" s="20" t="n"/>
      <c r="B6" s="21" t="n"/>
      <c r="C6" s="21" t="n"/>
      <c r="D6" s="22" t="n"/>
      <c r="E6" s="23" t="n"/>
      <c r="F6" s="24" t="n">
        <v>0.52</v>
      </c>
      <c r="G6" s="25">
        <f>IF(E6="","",E6*F6/15)</f>
        <v/>
      </c>
      <c r="H6" s="26" t="n"/>
      <c r="I6" s="26">
        <f>IF(G6="","",G6*H6)</f>
        <v/>
      </c>
      <c r="J6" s="26" t="n"/>
      <c r="K6" s="26">
        <f>IF(I6="","",I6-N(J6))</f>
        <v/>
      </c>
      <c r="L6" s="21" t="n"/>
    </row>
    <row r="7">
      <c r="A7" s="13" t="n"/>
      <c r="B7" s="14" t="n"/>
      <c r="C7" s="14" t="n"/>
      <c r="D7" s="15" t="n"/>
      <c r="E7" s="16" t="n"/>
      <c r="F7" s="17" t="n">
        <v>0.52</v>
      </c>
      <c r="G7" s="18">
        <f>IF(E7="","",E7*F7/15)</f>
        <v/>
      </c>
      <c r="H7" s="19" t="n"/>
      <c r="I7" s="19">
        <f>IF(G7="","",G7*H7)</f>
        <v/>
      </c>
      <c r="J7" s="19" t="n"/>
      <c r="K7" s="19">
        <f>IF(I7="","",I7-N(J7))</f>
        <v/>
      </c>
      <c r="L7" s="14" t="n"/>
    </row>
    <row r="8">
      <c r="A8" s="20" t="n"/>
      <c r="B8" s="21" t="n"/>
      <c r="C8" s="21" t="n"/>
      <c r="D8" s="22" t="n"/>
      <c r="E8" s="23" t="n"/>
      <c r="F8" s="24" t="n">
        <v>0.52</v>
      </c>
      <c r="G8" s="25">
        <f>IF(E8="","",E8*F8/15)</f>
        <v/>
      </c>
      <c r="H8" s="26" t="n"/>
      <c r="I8" s="26">
        <f>IF(G8="","",G8*H8)</f>
        <v/>
      </c>
      <c r="J8" s="26" t="n"/>
      <c r="K8" s="26">
        <f>IF(I8="","",I8-N(J8))</f>
        <v/>
      </c>
      <c r="L8" s="21" t="n"/>
    </row>
    <row r="9">
      <c r="A9" s="13" t="n"/>
      <c r="B9" s="14" t="n"/>
      <c r="C9" s="14" t="n"/>
      <c r="D9" s="15" t="n"/>
      <c r="E9" s="16" t="n"/>
      <c r="F9" s="17" t="n">
        <v>0.52</v>
      </c>
      <c r="G9" s="18">
        <f>IF(E9="","",E9*F9/15)</f>
        <v/>
      </c>
      <c r="H9" s="19" t="n"/>
      <c r="I9" s="19">
        <f>IF(G9="","",G9*H9)</f>
        <v/>
      </c>
      <c r="J9" s="19" t="n"/>
      <c r="K9" s="19">
        <f>IF(I9="","",I9-N(J9))</f>
        <v/>
      </c>
      <c r="L9" s="14" t="n"/>
    </row>
    <row r="10">
      <c r="A10" s="20" t="n"/>
      <c r="B10" s="21" t="n"/>
      <c r="C10" s="21" t="n"/>
      <c r="D10" s="22" t="n"/>
      <c r="E10" s="23" t="n"/>
      <c r="F10" s="24" t="n">
        <v>0.52</v>
      </c>
      <c r="G10" s="25">
        <f>IF(E10="","",E10*F10/15)</f>
        <v/>
      </c>
      <c r="H10" s="26" t="n"/>
      <c r="I10" s="26">
        <f>IF(G10="","",G10*H10)</f>
        <v/>
      </c>
      <c r="J10" s="26" t="n"/>
      <c r="K10" s="26">
        <f>IF(I10="","",I10-N(J10))</f>
        <v/>
      </c>
      <c r="L10" s="21" t="n"/>
    </row>
    <row r="11">
      <c r="A11" s="13" t="n"/>
      <c r="B11" s="14" t="n"/>
      <c r="C11" s="14" t="n"/>
      <c r="D11" s="15" t="n"/>
      <c r="E11" s="16" t="n"/>
      <c r="F11" s="17" t="n">
        <v>0.52</v>
      </c>
      <c r="G11" s="18">
        <f>IF(E11="","",E11*F11/15)</f>
        <v/>
      </c>
      <c r="H11" s="19" t="n"/>
      <c r="I11" s="19">
        <f>IF(G11="","",G11*H11)</f>
        <v/>
      </c>
      <c r="J11" s="19" t="n"/>
      <c r="K11" s="19">
        <f>IF(I11="","",I11-N(J11))</f>
        <v/>
      </c>
      <c r="L11" s="14" t="n"/>
    </row>
    <row r="12">
      <c r="A12" s="20" t="n"/>
      <c r="B12" s="21" t="n"/>
      <c r="C12" s="21" t="n"/>
      <c r="D12" s="22" t="n"/>
      <c r="E12" s="23" t="n"/>
      <c r="F12" s="24" t="n">
        <v>0.52</v>
      </c>
      <c r="G12" s="25">
        <f>IF(E12="","",E12*F12/15)</f>
        <v/>
      </c>
      <c r="H12" s="26" t="n"/>
      <c r="I12" s="26">
        <f>IF(G12="","",G12*H12)</f>
        <v/>
      </c>
      <c r="J12" s="26" t="n"/>
      <c r="K12" s="26">
        <f>IF(I12="","",I12-N(J12))</f>
        <v/>
      </c>
      <c r="L12" s="21" t="n"/>
    </row>
    <row r="13">
      <c r="A13" s="13" t="n"/>
      <c r="B13" s="14" t="n"/>
      <c r="C13" s="14" t="n"/>
      <c r="D13" s="15" t="n"/>
      <c r="E13" s="16" t="n"/>
      <c r="F13" s="17" t="n">
        <v>0.52</v>
      </c>
      <c r="G13" s="18">
        <f>IF(E13="","",E13*F13/15)</f>
        <v/>
      </c>
      <c r="H13" s="19" t="n"/>
      <c r="I13" s="19">
        <f>IF(G13="","",G13*H13)</f>
        <v/>
      </c>
      <c r="J13" s="19" t="n"/>
      <c r="K13" s="19">
        <f>IF(I13="","",I13-N(J13))</f>
        <v/>
      </c>
      <c r="L13" s="14" t="n"/>
    </row>
    <row r="14">
      <c r="A14" s="20" t="n"/>
      <c r="B14" s="21" t="n"/>
      <c r="C14" s="21" t="n"/>
      <c r="D14" s="22" t="n"/>
      <c r="E14" s="23" t="n"/>
      <c r="F14" s="24" t="n">
        <v>0.52</v>
      </c>
      <c r="G14" s="25">
        <f>IF(E14="","",E14*F14/15)</f>
        <v/>
      </c>
      <c r="H14" s="26" t="n"/>
      <c r="I14" s="26">
        <f>IF(G14="","",G14*H14)</f>
        <v/>
      </c>
      <c r="J14" s="26" t="n"/>
      <c r="K14" s="26">
        <f>IF(I14="","",I14-N(J14))</f>
        <v/>
      </c>
      <c r="L14" s="21" t="n"/>
    </row>
    <row r="15">
      <c r="A15" s="13" t="n"/>
      <c r="B15" s="14" t="n"/>
      <c r="C15" s="14" t="n"/>
      <c r="D15" s="15" t="n"/>
      <c r="E15" s="16" t="n"/>
      <c r="F15" s="17" t="n">
        <v>0.52</v>
      </c>
      <c r="G15" s="18">
        <f>IF(E15="","",E15*F15/15)</f>
        <v/>
      </c>
      <c r="H15" s="19" t="n"/>
      <c r="I15" s="19">
        <f>IF(G15="","",G15*H15)</f>
        <v/>
      </c>
      <c r="J15" s="19" t="n"/>
      <c r="K15" s="19">
        <f>IF(I15="","",I15-N(J15))</f>
        <v/>
      </c>
      <c r="L15" s="14" t="n"/>
    </row>
    <row r="16">
      <c r="A16" s="20" t="n"/>
      <c r="B16" s="21" t="n"/>
      <c r="C16" s="21" t="n"/>
      <c r="D16" s="22" t="n"/>
      <c r="E16" s="23" t="n"/>
      <c r="F16" s="24" t="n">
        <v>0.52</v>
      </c>
      <c r="G16" s="25">
        <f>IF(E16="","",E16*F16/15)</f>
        <v/>
      </c>
      <c r="H16" s="26" t="n"/>
      <c r="I16" s="26">
        <f>IF(G16="","",G16*H16)</f>
        <v/>
      </c>
      <c r="J16" s="26" t="n"/>
      <c r="K16" s="26">
        <f>IF(I16="","",I16-N(J16))</f>
        <v/>
      </c>
      <c r="L16" s="21" t="n"/>
    </row>
    <row r="17">
      <c r="A17" s="13" t="n"/>
      <c r="B17" s="14" t="n"/>
      <c r="C17" s="14" t="n"/>
      <c r="D17" s="15" t="n"/>
      <c r="E17" s="16" t="n"/>
      <c r="F17" s="17" t="n">
        <v>0.52</v>
      </c>
      <c r="G17" s="18">
        <f>IF(E17="","",E17*F17/15)</f>
        <v/>
      </c>
      <c r="H17" s="19" t="n"/>
      <c r="I17" s="19">
        <f>IF(G17="","",G17*H17)</f>
        <v/>
      </c>
      <c r="J17" s="19" t="n"/>
      <c r="K17" s="19">
        <f>IF(I17="","",I17-N(J17))</f>
        <v/>
      </c>
      <c r="L17" s="14" t="n"/>
    </row>
    <row r="18">
      <c r="A18" s="20" t="n"/>
      <c r="B18" s="21" t="n"/>
      <c r="C18" s="21" t="n"/>
      <c r="D18" s="22" t="n"/>
      <c r="E18" s="23" t="n"/>
      <c r="F18" s="24" t="n">
        <v>0.52</v>
      </c>
      <c r="G18" s="25">
        <f>IF(E18="","",E18*F18/15)</f>
        <v/>
      </c>
      <c r="H18" s="26" t="n"/>
      <c r="I18" s="26">
        <f>IF(G18="","",G18*H18)</f>
        <v/>
      </c>
      <c r="J18" s="26" t="n"/>
      <c r="K18" s="26">
        <f>IF(I18="","",I18-N(J18))</f>
        <v/>
      </c>
      <c r="L18" s="21" t="n"/>
    </row>
    <row r="19">
      <c r="A19" s="13" t="n"/>
      <c r="B19" s="14" t="n"/>
      <c r="C19" s="14" t="n"/>
      <c r="D19" s="15" t="n"/>
      <c r="E19" s="16" t="n"/>
      <c r="F19" s="17" t="n">
        <v>0.52</v>
      </c>
      <c r="G19" s="18">
        <f>IF(E19="","",E19*F19/15)</f>
        <v/>
      </c>
      <c r="H19" s="19" t="n"/>
      <c r="I19" s="19">
        <f>IF(G19="","",G19*H19)</f>
        <v/>
      </c>
      <c r="J19" s="19" t="n"/>
      <c r="K19" s="19">
        <f>IF(I19="","",I19-N(J19))</f>
        <v/>
      </c>
      <c r="L19" s="14" t="n"/>
    </row>
    <row r="20">
      <c r="A20" s="20" t="n"/>
      <c r="B20" s="21" t="n"/>
      <c r="C20" s="21" t="n"/>
      <c r="D20" s="22" t="n"/>
      <c r="E20" s="23" t="n"/>
      <c r="F20" s="24" t="n">
        <v>0.52</v>
      </c>
      <c r="G20" s="25">
        <f>IF(E20="","",E20*F20/15)</f>
        <v/>
      </c>
      <c r="H20" s="26" t="n"/>
      <c r="I20" s="26">
        <f>IF(G20="","",G20*H20)</f>
        <v/>
      </c>
      <c r="J20" s="26" t="n"/>
      <c r="K20" s="26">
        <f>IF(I20="","",I20-N(J20))</f>
        <v/>
      </c>
      <c r="L20" s="21" t="n"/>
    </row>
    <row r="21">
      <c r="A21" s="13" t="n"/>
      <c r="B21" s="14" t="n"/>
      <c r="C21" s="14" t="n"/>
      <c r="D21" s="15" t="n"/>
      <c r="E21" s="16" t="n"/>
      <c r="F21" s="17" t="n">
        <v>0.52</v>
      </c>
      <c r="G21" s="18">
        <f>IF(E21="","",E21*F21/15)</f>
        <v/>
      </c>
      <c r="H21" s="19" t="n"/>
      <c r="I21" s="19">
        <f>IF(G21="","",G21*H21)</f>
        <v/>
      </c>
      <c r="J21" s="19" t="n"/>
      <c r="K21" s="19">
        <f>IF(I21="","",I21-N(J21))</f>
        <v/>
      </c>
      <c r="L21" s="14" t="n"/>
    </row>
    <row r="22">
      <c r="A22" s="20" t="n"/>
      <c r="B22" s="21" t="n"/>
      <c r="C22" s="21" t="n"/>
      <c r="D22" s="22" t="n"/>
      <c r="E22" s="23" t="n"/>
      <c r="F22" s="24" t="n">
        <v>0.52</v>
      </c>
      <c r="G22" s="25">
        <f>IF(E22="","",E22*F22/15)</f>
        <v/>
      </c>
      <c r="H22" s="26" t="n"/>
      <c r="I22" s="26">
        <f>IF(G22="","",G22*H22)</f>
        <v/>
      </c>
      <c r="J22" s="26" t="n"/>
      <c r="K22" s="26">
        <f>IF(I22="","",I22-N(J22))</f>
        <v/>
      </c>
      <c r="L22" s="21" t="n"/>
    </row>
    <row r="23">
      <c r="A23" s="13" t="n"/>
      <c r="B23" s="14" t="n"/>
      <c r="C23" s="14" t="n"/>
      <c r="D23" s="15" t="n"/>
      <c r="E23" s="16" t="n"/>
      <c r="F23" s="17" t="n">
        <v>0.52</v>
      </c>
      <c r="G23" s="18">
        <f>IF(E23="","",E23*F23/15)</f>
        <v/>
      </c>
      <c r="H23" s="19" t="n"/>
      <c r="I23" s="19">
        <f>IF(G23="","",G23*H23)</f>
        <v/>
      </c>
      <c r="J23" s="19" t="n"/>
      <c r="K23" s="19">
        <f>IF(I23="","",I23-N(J23))</f>
        <v/>
      </c>
      <c r="L23" s="14" t="n"/>
    </row>
    <row r="24">
      <c r="A24" s="20" t="n"/>
      <c r="B24" s="21" t="n"/>
      <c r="C24" s="21" t="n"/>
      <c r="D24" s="22" t="n"/>
      <c r="E24" s="23" t="n"/>
      <c r="F24" s="24" t="n">
        <v>0.52</v>
      </c>
      <c r="G24" s="25">
        <f>IF(E24="","",E24*F24/15)</f>
        <v/>
      </c>
      <c r="H24" s="26" t="n"/>
      <c r="I24" s="26">
        <f>IF(G24="","",G24*H24)</f>
        <v/>
      </c>
      <c r="J24" s="26" t="n"/>
      <c r="K24" s="26">
        <f>IF(I24="","",I24-N(J24))</f>
        <v/>
      </c>
      <c r="L24" s="21" t="n"/>
    </row>
    <row r="25">
      <c r="A25" s="13" t="n"/>
      <c r="B25" s="14" t="n"/>
      <c r="C25" s="14" t="n"/>
      <c r="D25" s="15" t="n"/>
      <c r="E25" s="16" t="n"/>
      <c r="F25" s="17" t="n">
        <v>0.52</v>
      </c>
      <c r="G25" s="18">
        <f>IF(E25="","",E25*F25/15)</f>
        <v/>
      </c>
      <c r="H25" s="19" t="n"/>
      <c r="I25" s="19">
        <f>IF(G25="","",G25*H25)</f>
        <v/>
      </c>
      <c r="J25" s="19" t="n"/>
      <c r="K25" s="19">
        <f>IF(I25="","",I25-N(J25))</f>
        <v/>
      </c>
      <c r="L25" s="14" t="n"/>
    </row>
    <row r="26">
      <c r="A26" s="20" t="n"/>
      <c r="B26" s="21" t="n"/>
      <c r="C26" s="21" t="n"/>
      <c r="D26" s="22" t="n"/>
      <c r="E26" s="23" t="n"/>
      <c r="F26" s="24" t="n">
        <v>0.52</v>
      </c>
      <c r="G26" s="25">
        <f>IF(E26="","",E26*F26/15)</f>
        <v/>
      </c>
      <c r="H26" s="26" t="n"/>
      <c r="I26" s="26">
        <f>IF(G26="","",G26*H26)</f>
        <v/>
      </c>
      <c r="J26" s="26" t="n"/>
      <c r="K26" s="26">
        <f>IF(I26="","",I26-N(J26))</f>
        <v/>
      </c>
      <c r="L26" s="21" t="n"/>
    </row>
    <row r="27">
      <c r="A27" s="13" t="n"/>
      <c r="B27" s="14" t="n"/>
      <c r="C27" s="14" t="n"/>
      <c r="D27" s="15" t="n"/>
      <c r="E27" s="16" t="n"/>
      <c r="F27" s="17" t="n">
        <v>0.52</v>
      </c>
      <c r="G27" s="18">
        <f>IF(E27="","",E27*F27/15)</f>
        <v/>
      </c>
      <c r="H27" s="19" t="n"/>
      <c r="I27" s="19">
        <f>IF(G27="","",G27*H27)</f>
        <v/>
      </c>
      <c r="J27" s="19" t="n"/>
      <c r="K27" s="19">
        <f>IF(I27="","",I27-N(J27))</f>
        <v/>
      </c>
      <c r="L27" s="14" t="n"/>
    </row>
    <row r="28">
      <c r="A28" s="20" t="n"/>
      <c r="B28" s="21" t="n"/>
      <c r="C28" s="21" t="n"/>
      <c r="D28" s="22" t="n"/>
      <c r="E28" s="23" t="n"/>
      <c r="F28" s="24" t="n">
        <v>0.52</v>
      </c>
      <c r="G28" s="25">
        <f>IF(E28="","",E28*F28/15)</f>
        <v/>
      </c>
      <c r="H28" s="26" t="n"/>
      <c r="I28" s="26">
        <f>IF(G28="","",G28*H28)</f>
        <v/>
      </c>
      <c r="J28" s="26" t="n"/>
      <c r="K28" s="26">
        <f>IF(I28="","",I28-N(J28))</f>
        <v/>
      </c>
      <c r="L28" s="21" t="n"/>
    </row>
    <row r="29">
      <c r="A29" s="13" t="n"/>
      <c r="B29" s="14" t="n"/>
      <c r="C29" s="14" t="n"/>
      <c r="D29" s="15" t="n"/>
      <c r="E29" s="16" t="n"/>
      <c r="F29" s="17" t="n">
        <v>0.52</v>
      </c>
      <c r="G29" s="18">
        <f>IF(E29="","",E29*F29/15)</f>
        <v/>
      </c>
      <c r="H29" s="19" t="n"/>
      <c r="I29" s="19">
        <f>IF(G29="","",G29*H29)</f>
        <v/>
      </c>
      <c r="J29" s="19" t="n"/>
      <c r="K29" s="19">
        <f>IF(I29="","",I29-N(J29))</f>
        <v/>
      </c>
      <c r="L29" s="14" t="n"/>
    </row>
    <row r="30">
      <c r="A30" s="20" t="n"/>
      <c r="B30" s="21" t="n"/>
      <c r="C30" s="21" t="n"/>
      <c r="D30" s="22" t="n"/>
      <c r="E30" s="23" t="n"/>
      <c r="F30" s="24" t="n">
        <v>0.52</v>
      </c>
      <c r="G30" s="25">
        <f>IF(E30="","",E30*F30/15)</f>
        <v/>
      </c>
      <c r="H30" s="26" t="n"/>
      <c r="I30" s="26">
        <f>IF(G30="","",G30*H30)</f>
        <v/>
      </c>
      <c r="J30" s="26" t="n"/>
      <c r="K30" s="26">
        <f>IF(I30="","",I30-N(J30))</f>
        <v/>
      </c>
      <c r="L30" s="21" t="n"/>
    </row>
    <row r="31">
      <c r="A31" s="13" t="n"/>
      <c r="B31" s="14" t="n"/>
      <c r="C31" s="14" t="n"/>
      <c r="D31" s="15" t="n"/>
      <c r="E31" s="16" t="n"/>
      <c r="F31" s="17" t="n">
        <v>0.52</v>
      </c>
      <c r="G31" s="18">
        <f>IF(E31="","",E31*F31/15)</f>
        <v/>
      </c>
      <c r="H31" s="19" t="n"/>
      <c r="I31" s="19">
        <f>IF(G31="","",G31*H31)</f>
        <v/>
      </c>
      <c r="J31" s="19" t="n"/>
      <c r="K31" s="19">
        <f>IF(I31="","",I31-N(J31))</f>
        <v/>
      </c>
      <c r="L31" s="14" t="n"/>
    </row>
    <row r="32">
      <c r="A32" s="20" t="n"/>
      <c r="B32" s="21" t="n"/>
      <c r="C32" s="21" t="n"/>
      <c r="D32" s="22" t="n"/>
      <c r="E32" s="23" t="n"/>
      <c r="F32" s="24" t="n">
        <v>0.52</v>
      </c>
      <c r="G32" s="25">
        <f>IF(E32="","",E32*F32/15)</f>
        <v/>
      </c>
      <c r="H32" s="26" t="n"/>
      <c r="I32" s="26">
        <f>IF(G32="","",G32*H32)</f>
        <v/>
      </c>
      <c r="J32" s="26" t="n"/>
      <c r="K32" s="26">
        <f>IF(I32="","",I32-N(J32))</f>
        <v/>
      </c>
      <c r="L32" s="21" t="n"/>
    </row>
    <row r="33">
      <c r="A33" s="13" t="n"/>
      <c r="B33" s="14" t="n"/>
      <c r="C33" s="14" t="n"/>
      <c r="D33" s="15" t="n"/>
      <c r="E33" s="16" t="n"/>
      <c r="F33" s="17" t="n">
        <v>0.52</v>
      </c>
      <c r="G33" s="18">
        <f>IF(E33="","",E33*F33/15)</f>
        <v/>
      </c>
      <c r="H33" s="19" t="n"/>
      <c r="I33" s="19">
        <f>IF(G33="","",G33*H33)</f>
        <v/>
      </c>
      <c r="J33" s="19" t="n"/>
      <c r="K33" s="19">
        <f>IF(I33="","",I33-N(J33))</f>
        <v/>
      </c>
      <c r="L33" s="14" t="n"/>
    </row>
    <row r="34">
      <c r="A34" s="20" t="n"/>
      <c r="B34" s="21" t="n"/>
      <c r="C34" s="21" t="n"/>
      <c r="D34" s="22" t="n"/>
      <c r="E34" s="23" t="n"/>
      <c r="F34" s="24" t="n">
        <v>0.52</v>
      </c>
      <c r="G34" s="25">
        <f>IF(E34="","",E34*F34/15)</f>
        <v/>
      </c>
      <c r="H34" s="26" t="n"/>
      <c r="I34" s="26">
        <f>IF(G34="","",G34*H34)</f>
        <v/>
      </c>
      <c r="J34" s="26" t="n"/>
      <c r="K34" s="26">
        <f>IF(I34="","",I34-N(J34))</f>
        <v/>
      </c>
      <c r="L34" s="21" t="n"/>
    </row>
    <row r="35">
      <c r="A35" s="13" t="n"/>
      <c r="B35" s="14" t="n"/>
      <c r="C35" s="14" t="n"/>
      <c r="D35" s="15" t="n"/>
      <c r="E35" s="16" t="n"/>
      <c r="F35" s="17" t="n">
        <v>0.52</v>
      </c>
      <c r="G35" s="18">
        <f>IF(E35="","",E35*F35/15)</f>
        <v/>
      </c>
      <c r="H35" s="19" t="n"/>
      <c r="I35" s="19">
        <f>IF(G35="","",G35*H35)</f>
        <v/>
      </c>
      <c r="J35" s="19" t="n"/>
      <c r="K35" s="19">
        <f>IF(I35="","",I35-N(J35))</f>
        <v/>
      </c>
      <c r="L35" s="14" t="n"/>
    </row>
    <row r="36">
      <c r="A36" s="20" t="n"/>
      <c r="B36" s="21" t="n"/>
      <c r="C36" s="21" t="n"/>
      <c r="D36" s="22" t="n"/>
      <c r="E36" s="23" t="n"/>
      <c r="F36" s="24" t="n">
        <v>0.52</v>
      </c>
      <c r="G36" s="25">
        <f>IF(E36="","",E36*F36/15)</f>
        <v/>
      </c>
      <c r="H36" s="26" t="n"/>
      <c r="I36" s="26">
        <f>IF(G36="","",G36*H36)</f>
        <v/>
      </c>
      <c r="J36" s="26" t="n"/>
      <c r="K36" s="26">
        <f>IF(I36="","",I36-N(J36))</f>
        <v/>
      </c>
      <c r="L36" s="21" t="n"/>
    </row>
    <row r="37">
      <c r="A37" s="13" t="n"/>
      <c r="B37" s="14" t="n"/>
      <c r="C37" s="14" t="n"/>
      <c r="D37" s="15" t="n"/>
      <c r="E37" s="16" t="n"/>
      <c r="F37" s="17" t="n">
        <v>0.52</v>
      </c>
      <c r="G37" s="18">
        <f>IF(E37="","",E37*F37/15)</f>
        <v/>
      </c>
      <c r="H37" s="19" t="n"/>
      <c r="I37" s="19">
        <f>IF(G37="","",G37*H37)</f>
        <v/>
      </c>
      <c r="J37" s="19" t="n"/>
      <c r="K37" s="19">
        <f>IF(I37="","",I37-N(J37))</f>
        <v/>
      </c>
      <c r="L37" s="14" t="n"/>
    </row>
    <row r="38">
      <c r="A38" s="20" t="n"/>
      <c r="B38" s="21" t="n"/>
      <c r="C38" s="21" t="n"/>
      <c r="D38" s="22" t="n"/>
      <c r="E38" s="23" t="n"/>
      <c r="F38" s="24" t="n">
        <v>0.52</v>
      </c>
      <c r="G38" s="25">
        <f>IF(E38="","",E38*F38/15)</f>
        <v/>
      </c>
      <c r="H38" s="26" t="n"/>
      <c r="I38" s="26">
        <f>IF(G38="","",G38*H38)</f>
        <v/>
      </c>
      <c r="J38" s="26" t="n"/>
      <c r="K38" s="26">
        <f>IF(I38="","",I38-N(J38))</f>
        <v/>
      </c>
      <c r="L38" s="21" t="n"/>
    </row>
    <row r="39">
      <c r="A39" s="13" t="n"/>
      <c r="B39" s="14" t="n"/>
      <c r="C39" s="14" t="n"/>
      <c r="D39" s="15" t="n"/>
      <c r="E39" s="16" t="n"/>
      <c r="F39" s="17" t="n">
        <v>0.52</v>
      </c>
      <c r="G39" s="18">
        <f>IF(E39="","",E39*F39/15)</f>
        <v/>
      </c>
      <c r="H39" s="19" t="n"/>
      <c r="I39" s="19">
        <f>IF(G39="","",G39*H39)</f>
        <v/>
      </c>
      <c r="J39" s="19" t="n"/>
      <c r="K39" s="19">
        <f>IF(I39="","",I39-N(J39))</f>
        <v/>
      </c>
      <c r="L39" s="14" t="n"/>
    </row>
    <row r="40">
      <c r="A40" s="20" t="n"/>
      <c r="B40" s="21" t="n"/>
      <c r="C40" s="21" t="n"/>
      <c r="D40" s="22" t="n"/>
      <c r="E40" s="23" t="n"/>
      <c r="F40" s="24" t="n">
        <v>0.52</v>
      </c>
      <c r="G40" s="25">
        <f>IF(E40="","",E40*F40/15)</f>
        <v/>
      </c>
      <c r="H40" s="26" t="n"/>
      <c r="I40" s="26">
        <f>IF(G40="","",G40*H40)</f>
        <v/>
      </c>
      <c r="J40" s="26" t="n"/>
      <c r="K40" s="26">
        <f>IF(I40="","",I40-N(J40))</f>
        <v/>
      </c>
      <c r="L40" s="21" t="n"/>
    </row>
    <row r="41">
      <c r="A41" s="13" t="n"/>
      <c r="B41" s="14" t="n"/>
      <c r="C41" s="14" t="n"/>
      <c r="D41" s="15" t="n"/>
      <c r="E41" s="16" t="n"/>
      <c r="F41" s="17" t="n">
        <v>0.52</v>
      </c>
      <c r="G41" s="18">
        <f>IF(E41="","",E41*F41/15)</f>
        <v/>
      </c>
      <c r="H41" s="19" t="n"/>
      <c r="I41" s="19">
        <f>IF(G41="","",G41*H41)</f>
        <v/>
      </c>
      <c r="J41" s="19" t="n"/>
      <c r="K41" s="19">
        <f>IF(I41="","",I41-N(J41))</f>
        <v/>
      </c>
      <c r="L41" s="14" t="n"/>
    </row>
    <row r="42">
      <c r="A42" s="20" t="n"/>
      <c r="B42" s="21" t="n"/>
      <c r="C42" s="21" t="n"/>
      <c r="D42" s="22" t="n"/>
      <c r="E42" s="23" t="n"/>
      <c r="F42" s="24" t="n">
        <v>0.52</v>
      </c>
      <c r="G42" s="25">
        <f>IF(E42="","",E42*F42/15)</f>
        <v/>
      </c>
      <c r="H42" s="26" t="n"/>
      <c r="I42" s="26">
        <f>IF(G42="","",G42*H42)</f>
        <v/>
      </c>
      <c r="J42" s="26" t="n"/>
      <c r="K42" s="26">
        <f>IF(I42="","",I42-N(J42))</f>
        <v/>
      </c>
      <c r="L42" s="21" t="n"/>
    </row>
    <row r="43">
      <c r="A43" s="13" t="n"/>
      <c r="B43" s="14" t="n"/>
      <c r="C43" s="14" t="n"/>
      <c r="D43" s="15" t="n"/>
      <c r="E43" s="16" t="n"/>
      <c r="F43" s="17" t="n">
        <v>0.52</v>
      </c>
      <c r="G43" s="18">
        <f>IF(E43="","",E43*F43/15)</f>
        <v/>
      </c>
      <c r="H43" s="19" t="n"/>
      <c r="I43" s="19">
        <f>IF(G43="","",G43*H43)</f>
        <v/>
      </c>
      <c r="J43" s="19" t="n"/>
      <c r="K43" s="19">
        <f>IF(I43="","",I43-N(J43))</f>
        <v/>
      </c>
      <c r="L43" s="14" t="n"/>
    </row>
    <row r="44">
      <c r="A44" s="20" t="n"/>
      <c r="B44" s="21" t="n"/>
      <c r="C44" s="21" t="n"/>
      <c r="D44" s="22" t="n"/>
      <c r="E44" s="23" t="n"/>
      <c r="F44" s="24" t="n">
        <v>0.52</v>
      </c>
      <c r="G44" s="25">
        <f>IF(E44="","",E44*F44/15)</f>
        <v/>
      </c>
      <c r="H44" s="26" t="n"/>
      <c r="I44" s="26">
        <f>IF(G44="","",G44*H44)</f>
        <v/>
      </c>
      <c r="J44" s="26" t="n"/>
      <c r="K44" s="26">
        <f>IF(I44="","",I44-N(J44))</f>
        <v/>
      </c>
      <c r="L44" s="21" t="n"/>
    </row>
    <row r="45">
      <c r="A45" s="13" t="n"/>
      <c r="B45" s="14" t="n"/>
      <c r="C45" s="14" t="n"/>
      <c r="D45" s="15" t="n"/>
      <c r="E45" s="16" t="n"/>
      <c r="F45" s="17" t="n">
        <v>0.52</v>
      </c>
      <c r="G45" s="18">
        <f>IF(E45="","",E45*F45/15)</f>
        <v/>
      </c>
      <c r="H45" s="19" t="n"/>
      <c r="I45" s="19">
        <f>IF(G45="","",G45*H45)</f>
        <v/>
      </c>
      <c r="J45" s="19" t="n"/>
      <c r="K45" s="19">
        <f>IF(I45="","",I45-N(J45))</f>
        <v/>
      </c>
      <c r="L45" s="14" t="n"/>
    </row>
    <row r="46">
      <c r="A46" s="20" t="n"/>
      <c r="B46" s="21" t="n"/>
      <c r="C46" s="21" t="n"/>
      <c r="D46" s="22" t="n"/>
      <c r="E46" s="23" t="n"/>
      <c r="F46" s="24" t="n">
        <v>0.52</v>
      </c>
      <c r="G46" s="25">
        <f>IF(E46="","",E46*F46/15)</f>
        <v/>
      </c>
      <c r="H46" s="26" t="n"/>
      <c r="I46" s="26">
        <f>IF(G46="","",G46*H46)</f>
        <v/>
      </c>
      <c r="J46" s="26" t="n"/>
      <c r="K46" s="26">
        <f>IF(I46="","",I46-N(J46))</f>
        <v/>
      </c>
      <c r="L46" s="21" t="n"/>
    </row>
    <row r="47">
      <c r="A47" s="13" t="n"/>
      <c r="B47" s="14" t="n"/>
      <c r="C47" s="14" t="n"/>
      <c r="D47" s="15" t="n"/>
      <c r="E47" s="16" t="n"/>
      <c r="F47" s="17" t="n">
        <v>0.52</v>
      </c>
      <c r="G47" s="18">
        <f>IF(E47="","",E47*F47/15)</f>
        <v/>
      </c>
      <c r="H47" s="19" t="n"/>
      <c r="I47" s="19">
        <f>IF(G47="","",G47*H47)</f>
        <v/>
      </c>
      <c r="J47" s="19" t="n"/>
      <c r="K47" s="19">
        <f>IF(I47="","",I47-N(J47))</f>
        <v/>
      </c>
      <c r="L47" s="14" t="n"/>
    </row>
    <row r="48">
      <c r="A48" s="20" t="n"/>
      <c r="B48" s="21" t="n"/>
      <c r="C48" s="21" t="n"/>
      <c r="D48" s="22" t="n"/>
      <c r="E48" s="23" t="n"/>
      <c r="F48" s="24" t="n">
        <v>0.52</v>
      </c>
      <c r="G48" s="25">
        <f>IF(E48="","",E48*F48/15)</f>
        <v/>
      </c>
      <c r="H48" s="26" t="n"/>
      <c r="I48" s="26">
        <f>IF(G48="","",G48*H48)</f>
        <v/>
      </c>
      <c r="J48" s="26" t="n"/>
      <c r="K48" s="26">
        <f>IF(I48="","",I48-N(J48))</f>
        <v/>
      </c>
      <c r="L48" s="21" t="n"/>
    </row>
    <row r="49">
      <c r="A49" s="13" t="n"/>
      <c r="B49" s="14" t="n"/>
      <c r="C49" s="14" t="n"/>
      <c r="D49" s="15" t="n"/>
      <c r="E49" s="16" t="n"/>
      <c r="F49" s="17" t="n">
        <v>0.52</v>
      </c>
      <c r="G49" s="18">
        <f>IF(E49="","",E49*F49/15)</f>
        <v/>
      </c>
      <c r="H49" s="19" t="n"/>
      <c r="I49" s="19">
        <f>IF(G49="","",G49*H49)</f>
        <v/>
      </c>
      <c r="J49" s="19" t="n"/>
      <c r="K49" s="19">
        <f>IF(I49="","",I49-N(J49))</f>
        <v/>
      </c>
      <c r="L49" s="14" t="n"/>
    </row>
    <row r="50">
      <c r="A50" s="20" t="n"/>
      <c r="B50" s="21" t="n"/>
      <c r="C50" s="21" t="n"/>
      <c r="D50" s="22" t="n"/>
      <c r="E50" s="23" t="n"/>
      <c r="F50" s="24" t="n">
        <v>0.52</v>
      </c>
      <c r="G50" s="25">
        <f>IF(E50="","",E50*F50/15)</f>
        <v/>
      </c>
      <c r="H50" s="26" t="n"/>
      <c r="I50" s="26">
        <f>IF(G50="","",G50*H50)</f>
        <v/>
      </c>
      <c r="J50" s="26" t="n"/>
      <c r="K50" s="26">
        <f>IF(I50="","",I50-N(J50))</f>
        <v/>
      </c>
      <c r="L50" s="21" t="n"/>
    </row>
    <row r="51">
      <c r="A51" s="13" t="n"/>
      <c r="B51" s="14" t="n"/>
      <c r="C51" s="14" t="n"/>
      <c r="D51" s="15" t="n"/>
      <c r="E51" s="16" t="n"/>
      <c r="F51" s="17" t="n">
        <v>0.52</v>
      </c>
      <c r="G51" s="18">
        <f>IF(E51="","",E51*F51/15)</f>
        <v/>
      </c>
      <c r="H51" s="19" t="n"/>
      <c r="I51" s="19">
        <f>IF(G51="","",G51*H51)</f>
        <v/>
      </c>
      <c r="J51" s="19" t="n"/>
      <c r="K51" s="19">
        <f>IF(I51="","",I51-N(J51))</f>
        <v/>
      </c>
      <c r="L51" s="14" t="n"/>
    </row>
    <row r="52">
      <c r="A52" s="20" t="n"/>
      <c r="B52" s="21" t="n"/>
      <c r="C52" s="21" t="n"/>
      <c r="D52" s="22" t="n"/>
      <c r="E52" s="23" t="n"/>
      <c r="F52" s="24" t="n">
        <v>0.52</v>
      </c>
      <c r="G52" s="25">
        <f>IF(E52="","",E52*F52/15)</f>
        <v/>
      </c>
      <c r="H52" s="26" t="n"/>
      <c r="I52" s="26">
        <f>IF(G52="","",G52*H52)</f>
        <v/>
      </c>
      <c r="J52" s="26" t="n"/>
      <c r="K52" s="26">
        <f>IF(I52="","",I52-N(J52))</f>
        <v/>
      </c>
      <c r="L52" s="21" t="n"/>
    </row>
    <row r="53">
      <c r="A53" s="13" t="n"/>
      <c r="B53" s="14" t="n"/>
      <c r="C53" s="14" t="n"/>
      <c r="D53" s="15" t="n"/>
      <c r="E53" s="16" t="n"/>
      <c r="F53" s="17" t="n">
        <v>0.52</v>
      </c>
      <c r="G53" s="18">
        <f>IF(E53="","",E53*F53/15)</f>
        <v/>
      </c>
      <c r="H53" s="19" t="n"/>
      <c r="I53" s="19">
        <f>IF(G53="","",G53*H53)</f>
        <v/>
      </c>
      <c r="J53" s="19" t="n"/>
      <c r="K53" s="19">
        <f>IF(I53="","",I53-N(J53))</f>
        <v/>
      </c>
      <c r="L53" s="14" t="n"/>
    </row>
    <row r="54">
      <c r="A54" s="20" t="n"/>
      <c r="B54" s="21" t="n"/>
      <c r="C54" s="21" t="n"/>
      <c r="D54" s="22" t="n"/>
      <c r="E54" s="23" t="n"/>
      <c r="F54" s="24" t="n">
        <v>0.52</v>
      </c>
      <c r="G54" s="25">
        <f>IF(E54="","",E54*F54/15)</f>
        <v/>
      </c>
      <c r="H54" s="26" t="n"/>
      <c r="I54" s="26">
        <f>IF(G54="","",G54*H54)</f>
        <v/>
      </c>
      <c r="J54" s="26" t="n"/>
      <c r="K54" s="26">
        <f>IF(I54="","",I54-N(J54))</f>
        <v/>
      </c>
      <c r="L54" s="21" t="n"/>
    </row>
    <row r="55">
      <c r="A55" s="13" t="n"/>
      <c r="B55" s="14" t="n"/>
      <c r="C55" s="14" t="n"/>
      <c r="D55" s="15" t="n"/>
      <c r="E55" s="16" t="n"/>
      <c r="F55" s="17" t="n">
        <v>0.52</v>
      </c>
      <c r="G55" s="18">
        <f>IF(E55="","",E55*F55/15)</f>
        <v/>
      </c>
      <c r="H55" s="19" t="n"/>
      <c r="I55" s="19">
        <f>IF(G55="","",G55*H55)</f>
        <v/>
      </c>
      <c r="J55" s="19" t="n"/>
      <c r="K55" s="19">
        <f>IF(I55="","",I55-N(J55))</f>
        <v/>
      </c>
      <c r="L55" s="14" t="n"/>
    </row>
    <row r="56">
      <c r="A56" s="20" t="n"/>
      <c r="B56" s="21" t="n"/>
      <c r="C56" s="21" t="n"/>
      <c r="D56" s="22" t="n"/>
      <c r="E56" s="23" t="n"/>
      <c r="F56" s="24" t="n">
        <v>0.52</v>
      </c>
      <c r="G56" s="25">
        <f>IF(E56="","",E56*F56/15)</f>
        <v/>
      </c>
      <c r="H56" s="26" t="n"/>
      <c r="I56" s="26">
        <f>IF(G56="","",G56*H56)</f>
        <v/>
      </c>
      <c r="J56" s="26" t="n"/>
      <c r="K56" s="26">
        <f>IF(I56="","",I56-N(J56))</f>
        <v/>
      </c>
      <c r="L56" s="21" t="n"/>
    </row>
    <row r="57">
      <c r="A57" s="13" t="n"/>
      <c r="B57" s="14" t="n"/>
      <c r="C57" s="14" t="n"/>
      <c r="D57" s="15" t="n"/>
      <c r="E57" s="16" t="n"/>
      <c r="F57" s="17" t="n">
        <v>0.52</v>
      </c>
      <c r="G57" s="18">
        <f>IF(E57="","",E57*F57/15)</f>
        <v/>
      </c>
      <c r="H57" s="19" t="n"/>
      <c r="I57" s="19">
        <f>IF(G57="","",G57*H57)</f>
        <v/>
      </c>
      <c r="J57" s="19" t="n"/>
      <c r="K57" s="19">
        <f>IF(I57="","",I57-N(J57))</f>
        <v/>
      </c>
      <c r="L57" s="14" t="n"/>
    </row>
    <row r="58">
      <c r="A58" s="20" t="n"/>
      <c r="B58" s="21" t="n"/>
      <c r="C58" s="21" t="n"/>
      <c r="D58" s="22" t="n"/>
      <c r="E58" s="23" t="n"/>
      <c r="F58" s="24" t="n">
        <v>0.52</v>
      </c>
      <c r="G58" s="25">
        <f>IF(E58="","",E58*F58/15)</f>
        <v/>
      </c>
      <c r="H58" s="26" t="n"/>
      <c r="I58" s="26">
        <f>IF(G58="","",G58*H58)</f>
        <v/>
      </c>
      <c r="J58" s="26" t="n"/>
      <c r="K58" s="26">
        <f>IF(I58="","",I58-N(J58))</f>
        <v/>
      </c>
      <c r="L58" s="21" t="n"/>
    </row>
    <row r="59">
      <c r="A59" s="13" t="n"/>
      <c r="B59" s="14" t="n"/>
      <c r="C59" s="14" t="n"/>
      <c r="D59" s="15" t="n"/>
      <c r="E59" s="16" t="n"/>
      <c r="F59" s="17" t="n">
        <v>0.52</v>
      </c>
      <c r="G59" s="18">
        <f>IF(E59="","",E59*F59/15)</f>
        <v/>
      </c>
      <c r="H59" s="19" t="n"/>
      <c r="I59" s="19">
        <f>IF(G59="","",G59*H59)</f>
        <v/>
      </c>
      <c r="J59" s="19" t="n"/>
      <c r="K59" s="19">
        <f>IF(I59="","",I59-N(J59))</f>
        <v/>
      </c>
      <c r="L59" s="14" t="n"/>
    </row>
    <row r="60">
      <c r="A60" s="20" t="n"/>
      <c r="B60" s="21" t="n"/>
      <c r="C60" s="21" t="n"/>
      <c r="D60" s="22" t="n"/>
      <c r="E60" s="23" t="n"/>
      <c r="F60" s="24" t="n">
        <v>0.52</v>
      </c>
      <c r="G60" s="25">
        <f>IF(E60="","",E60*F60/15)</f>
        <v/>
      </c>
      <c r="H60" s="26" t="n"/>
      <c r="I60" s="26">
        <f>IF(G60="","",G60*H60)</f>
        <v/>
      </c>
      <c r="J60" s="26" t="n"/>
      <c r="K60" s="26">
        <f>IF(I60="","",I60-N(J60))</f>
        <v/>
      </c>
      <c r="L60" s="21" t="n"/>
    </row>
    <row r="61">
      <c r="A61" s="13" t="n"/>
      <c r="B61" s="14" t="n"/>
      <c r="C61" s="14" t="n"/>
      <c r="D61" s="15" t="n"/>
      <c r="E61" s="16" t="n"/>
      <c r="F61" s="17" t="n">
        <v>0.52</v>
      </c>
      <c r="G61" s="18">
        <f>IF(E61="","",E61*F61/15)</f>
        <v/>
      </c>
      <c r="H61" s="19" t="n"/>
      <c r="I61" s="19">
        <f>IF(G61="","",G61*H61)</f>
        <v/>
      </c>
      <c r="J61" s="19" t="n"/>
      <c r="K61" s="19">
        <f>IF(I61="","",I61-N(J61))</f>
        <v/>
      </c>
      <c r="L61" s="14" t="n"/>
    </row>
    <row r="62">
      <c r="A62" s="20" t="n"/>
      <c r="B62" s="21" t="n"/>
      <c r="C62" s="21" t="n"/>
      <c r="D62" s="22" t="n"/>
      <c r="E62" s="23" t="n"/>
      <c r="F62" s="24" t="n">
        <v>0.52</v>
      </c>
      <c r="G62" s="25">
        <f>IF(E62="","",E62*F62/15)</f>
        <v/>
      </c>
      <c r="H62" s="26" t="n"/>
      <c r="I62" s="26">
        <f>IF(G62="","",G62*H62)</f>
        <v/>
      </c>
      <c r="J62" s="26" t="n"/>
      <c r="K62" s="26">
        <f>IF(I62="","",I62-N(J62))</f>
        <v/>
      </c>
      <c r="L62" s="21" t="n"/>
    </row>
    <row r="63">
      <c r="A63" s="13" t="n"/>
      <c r="B63" s="14" t="n"/>
      <c r="C63" s="14" t="n"/>
      <c r="D63" s="15" t="n"/>
      <c r="E63" s="16" t="n"/>
      <c r="F63" s="17" t="n">
        <v>0.52</v>
      </c>
      <c r="G63" s="18">
        <f>IF(E63="","",E63*F63/15)</f>
        <v/>
      </c>
      <c r="H63" s="19" t="n"/>
      <c r="I63" s="19">
        <f>IF(G63="","",G63*H63)</f>
        <v/>
      </c>
      <c r="J63" s="19" t="n"/>
      <c r="K63" s="19">
        <f>IF(I63="","",I63-N(J63))</f>
        <v/>
      </c>
      <c r="L63" s="14" t="n"/>
    </row>
    <row r="64">
      <c r="A64" s="20" t="n"/>
      <c r="B64" s="21" t="n"/>
      <c r="C64" s="21" t="n"/>
      <c r="D64" s="22" t="n"/>
      <c r="E64" s="23" t="n"/>
      <c r="F64" s="24" t="n">
        <v>0.52</v>
      </c>
      <c r="G64" s="25">
        <f>IF(E64="","",E64*F64/15)</f>
        <v/>
      </c>
      <c r="H64" s="26" t="n"/>
      <c r="I64" s="26">
        <f>IF(G64="","",G64*H64)</f>
        <v/>
      </c>
      <c r="J64" s="26" t="n"/>
      <c r="K64" s="26">
        <f>IF(I64="","",I64-N(J64))</f>
        <v/>
      </c>
      <c r="L64" s="21" t="n"/>
    </row>
    <row r="65">
      <c r="A65" s="13" t="n"/>
      <c r="B65" s="14" t="n"/>
      <c r="C65" s="14" t="n"/>
      <c r="D65" s="15" t="n"/>
      <c r="E65" s="16" t="n"/>
      <c r="F65" s="17" t="n">
        <v>0.52</v>
      </c>
      <c r="G65" s="18">
        <f>IF(E65="","",E65*F65/15)</f>
        <v/>
      </c>
      <c r="H65" s="19" t="n"/>
      <c r="I65" s="19">
        <f>IF(G65="","",G65*H65)</f>
        <v/>
      </c>
      <c r="J65" s="19" t="n"/>
      <c r="K65" s="19">
        <f>IF(I65="","",I65-N(J65))</f>
        <v/>
      </c>
      <c r="L65" s="14" t="n"/>
    </row>
    <row r="66">
      <c r="A66" s="20" t="n"/>
      <c r="B66" s="21" t="n"/>
      <c r="C66" s="21" t="n"/>
      <c r="D66" s="22" t="n"/>
      <c r="E66" s="23" t="n"/>
      <c r="F66" s="24" t="n">
        <v>0.52</v>
      </c>
      <c r="G66" s="25">
        <f>IF(E66="","",E66*F66/15)</f>
        <v/>
      </c>
      <c r="H66" s="26" t="n"/>
      <c r="I66" s="26">
        <f>IF(G66="","",G66*H66)</f>
        <v/>
      </c>
      <c r="J66" s="26" t="n"/>
      <c r="K66" s="26">
        <f>IF(I66="","",I66-N(J66))</f>
        <v/>
      </c>
      <c r="L66" s="21" t="n"/>
    </row>
    <row r="67">
      <c r="A67" s="13" t="n"/>
      <c r="B67" s="14" t="n"/>
      <c r="C67" s="14" t="n"/>
      <c r="D67" s="15" t="n"/>
      <c r="E67" s="16" t="n"/>
      <c r="F67" s="17" t="n">
        <v>0.52</v>
      </c>
      <c r="G67" s="18">
        <f>IF(E67="","",E67*F67/15)</f>
        <v/>
      </c>
      <c r="H67" s="19" t="n"/>
      <c r="I67" s="19">
        <f>IF(G67="","",G67*H67)</f>
        <v/>
      </c>
      <c r="J67" s="19" t="n"/>
      <c r="K67" s="19">
        <f>IF(I67="","",I67-N(J67))</f>
        <v/>
      </c>
      <c r="L67" s="14" t="n"/>
    </row>
    <row r="68">
      <c r="A68" s="20" t="n"/>
      <c r="B68" s="21" t="n"/>
      <c r="C68" s="21" t="n"/>
      <c r="D68" s="22" t="n"/>
      <c r="E68" s="23" t="n"/>
      <c r="F68" s="24" t="n">
        <v>0.52</v>
      </c>
      <c r="G68" s="25">
        <f>IF(E68="","",E68*F68/15)</f>
        <v/>
      </c>
      <c r="H68" s="26" t="n"/>
      <c r="I68" s="26">
        <f>IF(G68="","",G68*H68)</f>
        <v/>
      </c>
      <c r="J68" s="26" t="n"/>
      <c r="K68" s="26">
        <f>IF(I68="","",I68-N(J68))</f>
        <v/>
      </c>
      <c r="L68" s="21" t="n"/>
    </row>
    <row r="69">
      <c r="A69" s="13" t="n"/>
      <c r="B69" s="14" t="n"/>
      <c r="C69" s="14" t="n"/>
      <c r="D69" s="15" t="n"/>
      <c r="E69" s="16" t="n"/>
      <c r="F69" s="17" t="n">
        <v>0.52</v>
      </c>
      <c r="G69" s="18">
        <f>IF(E69="","",E69*F69/15)</f>
        <v/>
      </c>
      <c r="H69" s="19" t="n"/>
      <c r="I69" s="19">
        <f>IF(G69="","",G69*H69)</f>
        <v/>
      </c>
      <c r="J69" s="19" t="n"/>
      <c r="K69" s="19">
        <f>IF(I69="","",I69-N(J69))</f>
        <v/>
      </c>
      <c r="L69" s="14" t="n"/>
    </row>
    <row r="70">
      <c r="A70" s="20" t="n"/>
      <c r="B70" s="21" t="n"/>
      <c r="C70" s="21" t="n"/>
      <c r="D70" s="22" t="n"/>
      <c r="E70" s="23" t="n"/>
      <c r="F70" s="24" t="n">
        <v>0.52</v>
      </c>
      <c r="G70" s="25">
        <f>IF(E70="","",E70*F70/15)</f>
        <v/>
      </c>
      <c r="H70" s="26" t="n"/>
      <c r="I70" s="26">
        <f>IF(G70="","",G70*H70)</f>
        <v/>
      </c>
      <c r="J70" s="26" t="n"/>
      <c r="K70" s="26">
        <f>IF(I70="","",I70-N(J70))</f>
        <v/>
      </c>
      <c r="L70" s="21" t="n"/>
    </row>
    <row r="71">
      <c r="A71" s="13" t="n"/>
      <c r="B71" s="14" t="n"/>
      <c r="C71" s="14" t="n"/>
      <c r="D71" s="15" t="n"/>
      <c r="E71" s="16" t="n"/>
      <c r="F71" s="17" t="n">
        <v>0.52</v>
      </c>
      <c r="G71" s="18">
        <f>IF(E71="","",E71*F71/15)</f>
        <v/>
      </c>
      <c r="H71" s="19" t="n"/>
      <c r="I71" s="19">
        <f>IF(G71="","",G71*H71)</f>
        <v/>
      </c>
      <c r="J71" s="19" t="n"/>
      <c r="K71" s="19">
        <f>IF(I71="","",I71-N(J71))</f>
        <v/>
      </c>
      <c r="L71" s="14" t="n"/>
    </row>
    <row r="72">
      <c r="A72" s="20" t="n"/>
      <c r="B72" s="21" t="n"/>
      <c r="C72" s="21" t="n"/>
      <c r="D72" s="22" t="n"/>
      <c r="E72" s="23" t="n"/>
      <c r="F72" s="24" t="n">
        <v>0.52</v>
      </c>
      <c r="G72" s="25">
        <f>IF(E72="","",E72*F72/15)</f>
        <v/>
      </c>
      <c r="H72" s="26" t="n"/>
      <c r="I72" s="26">
        <f>IF(G72="","",G72*H72)</f>
        <v/>
      </c>
      <c r="J72" s="26" t="n"/>
      <c r="K72" s="26">
        <f>IF(I72="","",I72-N(J72))</f>
        <v/>
      </c>
      <c r="L72" s="21" t="n"/>
    </row>
    <row r="73">
      <c r="A73" s="13" t="n"/>
      <c r="B73" s="14" t="n"/>
      <c r="C73" s="14" t="n"/>
      <c r="D73" s="15" t="n"/>
      <c r="E73" s="16" t="n"/>
      <c r="F73" s="17" t="n">
        <v>0.52</v>
      </c>
      <c r="G73" s="18">
        <f>IF(E73="","",E73*F73/15)</f>
        <v/>
      </c>
      <c r="H73" s="19" t="n"/>
      <c r="I73" s="19">
        <f>IF(G73="","",G73*H73)</f>
        <v/>
      </c>
      <c r="J73" s="19" t="n"/>
      <c r="K73" s="19">
        <f>IF(I73="","",I73-N(J73))</f>
        <v/>
      </c>
      <c r="L73" s="14" t="n"/>
    </row>
    <row r="74">
      <c r="A74" s="20" t="n"/>
      <c r="B74" s="21" t="n"/>
      <c r="C74" s="21" t="n"/>
      <c r="D74" s="22" t="n"/>
      <c r="E74" s="23" t="n"/>
      <c r="F74" s="24" t="n">
        <v>0.52</v>
      </c>
      <c r="G74" s="25">
        <f>IF(E74="","",E74*F74/15)</f>
        <v/>
      </c>
      <c r="H74" s="26" t="n"/>
      <c r="I74" s="26">
        <f>IF(G74="","",G74*H74)</f>
        <v/>
      </c>
      <c r="J74" s="26" t="n"/>
      <c r="K74" s="26">
        <f>IF(I74="","",I74-N(J74))</f>
        <v/>
      </c>
      <c r="L74" s="21" t="n"/>
    </row>
    <row r="75">
      <c r="A75" s="13" t="n"/>
      <c r="B75" s="14" t="n"/>
      <c r="C75" s="14" t="n"/>
      <c r="D75" s="15" t="n"/>
      <c r="E75" s="16" t="n"/>
      <c r="F75" s="17" t="n">
        <v>0.52</v>
      </c>
      <c r="G75" s="18">
        <f>IF(E75="","",E75*F75/15)</f>
        <v/>
      </c>
      <c r="H75" s="19" t="n"/>
      <c r="I75" s="19">
        <f>IF(G75="","",G75*H75)</f>
        <v/>
      </c>
      <c r="J75" s="19" t="n"/>
      <c r="K75" s="19">
        <f>IF(I75="","",I75-N(J75))</f>
        <v/>
      </c>
      <c r="L75" s="14" t="n"/>
    </row>
    <row r="76">
      <c r="A76" s="20" t="n"/>
      <c r="B76" s="21" t="n"/>
      <c r="C76" s="21" t="n"/>
      <c r="D76" s="22" t="n"/>
      <c r="E76" s="23" t="n"/>
      <c r="F76" s="24" t="n">
        <v>0.52</v>
      </c>
      <c r="G76" s="25">
        <f>IF(E76="","",E76*F76/15)</f>
        <v/>
      </c>
      <c r="H76" s="26" t="n"/>
      <c r="I76" s="26">
        <f>IF(G76="","",G76*H76)</f>
        <v/>
      </c>
      <c r="J76" s="26" t="n"/>
      <c r="K76" s="26">
        <f>IF(I76="","",I76-N(J76))</f>
        <v/>
      </c>
      <c r="L76" s="21" t="n"/>
    </row>
    <row r="77">
      <c r="A77" s="13" t="n"/>
      <c r="B77" s="14" t="n"/>
      <c r="C77" s="14" t="n"/>
      <c r="D77" s="15" t="n"/>
      <c r="E77" s="16" t="n"/>
      <c r="F77" s="17" t="n">
        <v>0.52</v>
      </c>
      <c r="G77" s="18">
        <f>IF(E77="","",E77*F77/15)</f>
        <v/>
      </c>
      <c r="H77" s="19" t="n"/>
      <c r="I77" s="19">
        <f>IF(G77="","",G77*H77)</f>
        <v/>
      </c>
      <c r="J77" s="19" t="n"/>
      <c r="K77" s="19">
        <f>IF(I77="","",I77-N(J77))</f>
        <v/>
      </c>
      <c r="L77" s="14" t="n"/>
    </row>
    <row r="78">
      <c r="A78" s="20" t="n"/>
      <c r="B78" s="21" t="n"/>
      <c r="C78" s="21" t="n"/>
      <c r="D78" s="22" t="n"/>
      <c r="E78" s="23" t="n"/>
      <c r="F78" s="24" t="n">
        <v>0.52</v>
      </c>
      <c r="G78" s="25">
        <f>IF(E78="","",E78*F78/15)</f>
        <v/>
      </c>
      <c r="H78" s="26" t="n"/>
      <c r="I78" s="26">
        <f>IF(G78="","",G78*H78)</f>
        <v/>
      </c>
      <c r="J78" s="26" t="n"/>
      <c r="K78" s="26">
        <f>IF(I78="","",I78-N(J78))</f>
        <v/>
      </c>
      <c r="L78" s="21" t="n"/>
    </row>
    <row r="79">
      <c r="A79" s="13" t="n"/>
      <c r="B79" s="14" t="n"/>
      <c r="C79" s="14" t="n"/>
      <c r="D79" s="15" t="n"/>
      <c r="E79" s="16" t="n"/>
      <c r="F79" s="17" t="n">
        <v>0.52</v>
      </c>
      <c r="G79" s="18">
        <f>IF(E79="","",E79*F79/15)</f>
        <v/>
      </c>
      <c r="H79" s="19" t="n"/>
      <c r="I79" s="19">
        <f>IF(G79="","",G79*H79)</f>
        <v/>
      </c>
      <c r="J79" s="19" t="n"/>
      <c r="K79" s="19">
        <f>IF(I79="","",I79-N(J79))</f>
        <v/>
      </c>
      <c r="L79" s="14" t="n"/>
    </row>
    <row r="80">
      <c r="A80" s="20" t="n"/>
      <c r="B80" s="21" t="n"/>
      <c r="C80" s="21" t="n"/>
      <c r="D80" s="22" t="n"/>
      <c r="E80" s="23" t="n"/>
      <c r="F80" s="24" t="n">
        <v>0.52</v>
      </c>
      <c r="G80" s="25">
        <f>IF(E80="","",E80*F80/15)</f>
        <v/>
      </c>
      <c r="H80" s="26" t="n"/>
      <c r="I80" s="26">
        <f>IF(G80="","",G80*H80)</f>
        <v/>
      </c>
      <c r="J80" s="26" t="n"/>
      <c r="K80" s="26">
        <f>IF(I80="","",I80-N(J80))</f>
        <v/>
      </c>
      <c r="L80" s="21" t="n"/>
    </row>
    <row r="81">
      <c r="A81" s="13" t="n"/>
      <c r="B81" s="14" t="n"/>
      <c r="C81" s="14" t="n"/>
      <c r="D81" s="15" t="n"/>
      <c r="E81" s="16" t="n"/>
      <c r="F81" s="17" t="n">
        <v>0.52</v>
      </c>
      <c r="G81" s="18">
        <f>IF(E81="","",E81*F81/15)</f>
        <v/>
      </c>
      <c r="H81" s="19" t="n"/>
      <c r="I81" s="19">
        <f>IF(G81="","",G81*H81)</f>
        <v/>
      </c>
      <c r="J81" s="19" t="n"/>
      <c r="K81" s="19">
        <f>IF(I81="","",I81-N(J81))</f>
        <v/>
      </c>
      <c r="L81" s="14" t="n"/>
    </row>
    <row r="82">
      <c r="A82" s="20" t="n"/>
      <c r="B82" s="21" t="n"/>
      <c r="C82" s="21" t="n"/>
      <c r="D82" s="22" t="n"/>
      <c r="E82" s="23" t="n"/>
      <c r="F82" s="24" t="n">
        <v>0.52</v>
      </c>
      <c r="G82" s="25">
        <f>IF(E82="","",E82*F82/15)</f>
        <v/>
      </c>
      <c r="H82" s="26" t="n"/>
      <c r="I82" s="26">
        <f>IF(G82="","",G82*H82)</f>
        <v/>
      </c>
      <c r="J82" s="26" t="n"/>
      <c r="K82" s="26">
        <f>IF(I82="","",I82-N(J82))</f>
        <v/>
      </c>
      <c r="L82" s="21" t="n"/>
    </row>
    <row r="83">
      <c r="A83" s="13" t="n"/>
      <c r="B83" s="14" t="n"/>
      <c r="C83" s="14" t="n"/>
      <c r="D83" s="15" t="n"/>
      <c r="E83" s="16" t="n"/>
      <c r="F83" s="17" t="n">
        <v>0.52</v>
      </c>
      <c r="G83" s="18">
        <f>IF(E83="","",E83*F83/15)</f>
        <v/>
      </c>
      <c r="H83" s="19" t="n"/>
      <c r="I83" s="19">
        <f>IF(G83="","",G83*H83)</f>
        <v/>
      </c>
      <c r="J83" s="19" t="n"/>
      <c r="K83" s="19">
        <f>IF(I83="","",I83-N(J83))</f>
        <v/>
      </c>
      <c r="L83" s="14" t="n"/>
    </row>
    <row r="84">
      <c r="A84" s="20" t="n"/>
      <c r="B84" s="21" t="n"/>
      <c r="C84" s="21" t="n"/>
      <c r="D84" s="22" t="n"/>
      <c r="E84" s="23" t="n"/>
      <c r="F84" s="24" t="n">
        <v>0.52</v>
      </c>
      <c r="G84" s="25">
        <f>IF(E84="","",E84*F84/15)</f>
        <v/>
      </c>
      <c r="H84" s="26" t="n"/>
      <c r="I84" s="26">
        <f>IF(G84="","",G84*H84)</f>
        <v/>
      </c>
      <c r="J84" s="26" t="n"/>
      <c r="K84" s="26">
        <f>IF(I84="","",I84-N(J84))</f>
        <v/>
      </c>
      <c r="L84" s="21" t="n"/>
    </row>
    <row r="85">
      <c r="A85" s="13" t="n"/>
      <c r="B85" s="14" t="n"/>
      <c r="C85" s="14" t="n"/>
      <c r="D85" s="15" t="n"/>
      <c r="E85" s="16" t="n"/>
      <c r="F85" s="17" t="n">
        <v>0.52</v>
      </c>
      <c r="G85" s="18">
        <f>IF(E85="","",E85*F85/15)</f>
        <v/>
      </c>
      <c r="H85" s="19" t="n"/>
      <c r="I85" s="19">
        <f>IF(G85="","",G85*H85)</f>
        <v/>
      </c>
      <c r="J85" s="19" t="n"/>
      <c r="K85" s="19">
        <f>IF(I85="","",I85-N(J85))</f>
        <v/>
      </c>
      <c r="L85" s="14" t="n"/>
    </row>
    <row r="86">
      <c r="A86" s="20" t="n"/>
      <c r="B86" s="21" t="n"/>
      <c r="C86" s="21" t="n"/>
      <c r="D86" s="22" t="n"/>
      <c r="E86" s="23" t="n"/>
      <c r="F86" s="24" t="n">
        <v>0.52</v>
      </c>
      <c r="G86" s="25">
        <f>IF(E86="","",E86*F86/15)</f>
        <v/>
      </c>
      <c r="H86" s="26" t="n"/>
      <c r="I86" s="26">
        <f>IF(G86="","",G86*H86)</f>
        <v/>
      </c>
      <c r="J86" s="26" t="n"/>
      <c r="K86" s="26">
        <f>IF(I86="","",I86-N(J86))</f>
        <v/>
      </c>
      <c r="L86" s="21" t="n"/>
    </row>
    <row r="87">
      <c r="A87" s="13" t="n"/>
      <c r="B87" s="14" t="n"/>
      <c r="C87" s="14" t="n"/>
      <c r="D87" s="15" t="n"/>
      <c r="E87" s="16" t="n"/>
      <c r="F87" s="17" t="n">
        <v>0.52</v>
      </c>
      <c r="G87" s="18">
        <f>IF(E87="","",E87*F87/15)</f>
        <v/>
      </c>
      <c r="H87" s="19" t="n"/>
      <c r="I87" s="19">
        <f>IF(G87="","",G87*H87)</f>
        <v/>
      </c>
      <c r="J87" s="19" t="n"/>
      <c r="K87" s="19">
        <f>IF(I87="","",I87-N(J87))</f>
        <v/>
      </c>
      <c r="L87" s="14" t="n"/>
    </row>
    <row r="88">
      <c r="A88" s="20" t="n"/>
      <c r="B88" s="21" t="n"/>
      <c r="C88" s="21" t="n"/>
      <c r="D88" s="22" t="n"/>
      <c r="E88" s="23" t="n"/>
      <c r="F88" s="24" t="n">
        <v>0.52</v>
      </c>
      <c r="G88" s="25">
        <f>IF(E88="","",E88*F88/15)</f>
        <v/>
      </c>
      <c r="H88" s="26" t="n"/>
      <c r="I88" s="26">
        <f>IF(G88="","",G88*H88)</f>
        <v/>
      </c>
      <c r="J88" s="26" t="n"/>
      <c r="K88" s="26">
        <f>IF(I88="","",I88-N(J88))</f>
        <v/>
      </c>
      <c r="L88" s="21" t="n"/>
    </row>
    <row r="89">
      <c r="A89" s="13" t="n"/>
      <c r="B89" s="14" t="n"/>
      <c r="C89" s="14" t="n"/>
      <c r="D89" s="15" t="n"/>
      <c r="E89" s="16" t="n"/>
      <c r="F89" s="17" t="n">
        <v>0.52</v>
      </c>
      <c r="G89" s="18">
        <f>IF(E89="","",E89*F89/15)</f>
        <v/>
      </c>
      <c r="H89" s="19" t="n"/>
      <c r="I89" s="19">
        <f>IF(G89="","",G89*H89)</f>
        <v/>
      </c>
      <c r="J89" s="19" t="n"/>
      <c r="K89" s="19">
        <f>IF(I89="","",I89-N(J89))</f>
        <v/>
      </c>
      <c r="L89" s="14" t="n"/>
    </row>
    <row r="90">
      <c r="A90" s="20" t="n"/>
      <c r="B90" s="21" t="n"/>
      <c r="C90" s="21" t="n"/>
      <c r="D90" s="22" t="n"/>
      <c r="E90" s="23" t="n"/>
      <c r="F90" s="24" t="n">
        <v>0.52</v>
      </c>
      <c r="G90" s="25">
        <f>IF(E90="","",E90*F90/15)</f>
        <v/>
      </c>
      <c r="H90" s="26" t="n"/>
      <c r="I90" s="26">
        <f>IF(G90="","",G90*H90)</f>
        <v/>
      </c>
      <c r="J90" s="26" t="n"/>
      <c r="K90" s="26">
        <f>IF(I90="","",I90-N(J90))</f>
        <v/>
      </c>
      <c r="L90" s="21" t="n"/>
    </row>
    <row r="91">
      <c r="A91" s="13" t="n"/>
      <c r="B91" s="14" t="n"/>
      <c r="C91" s="14" t="n"/>
      <c r="D91" s="15" t="n"/>
      <c r="E91" s="16" t="n"/>
      <c r="F91" s="17" t="n">
        <v>0.52</v>
      </c>
      <c r="G91" s="18">
        <f>IF(E91="","",E91*F91/15)</f>
        <v/>
      </c>
      <c r="H91" s="19" t="n"/>
      <c r="I91" s="19">
        <f>IF(G91="","",G91*H91)</f>
        <v/>
      </c>
      <c r="J91" s="19" t="n"/>
      <c r="K91" s="19">
        <f>IF(I91="","",I91-N(J91))</f>
        <v/>
      </c>
      <c r="L91" s="14" t="n"/>
    </row>
    <row r="92">
      <c r="A92" s="20" t="n"/>
      <c r="B92" s="21" t="n"/>
      <c r="C92" s="21" t="n"/>
      <c r="D92" s="22" t="n"/>
      <c r="E92" s="23" t="n"/>
      <c r="F92" s="24" t="n">
        <v>0.52</v>
      </c>
      <c r="G92" s="25">
        <f>IF(E92="","",E92*F92/15)</f>
        <v/>
      </c>
      <c r="H92" s="26" t="n"/>
      <c r="I92" s="26">
        <f>IF(G92="","",G92*H92)</f>
        <v/>
      </c>
      <c r="J92" s="26" t="n"/>
      <c r="K92" s="26">
        <f>IF(I92="","",I92-N(J92))</f>
        <v/>
      </c>
      <c r="L92" s="21" t="n"/>
    </row>
    <row r="93">
      <c r="A93" s="13" t="n"/>
      <c r="B93" s="14" t="n"/>
      <c r="C93" s="14" t="n"/>
      <c r="D93" s="15" t="n"/>
      <c r="E93" s="16" t="n"/>
      <c r="F93" s="17" t="n">
        <v>0.52</v>
      </c>
      <c r="G93" s="18">
        <f>IF(E93="","",E93*F93/15)</f>
        <v/>
      </c>
      <c r="H93" s="19" t="n"/>
      <c r="I93" s="19">
        <f>IF(G93="","",G93*H93)</f>
        <v/>
      </c>
      <c r="J93" s="19" t="n"/>
      <c r="K93" s="19">
        <f>IF(I93="","",I93-N(J93))</f>
        <v/>
      </c>
      <c r="L93" s="14" t="n"/>
    </row>
    <row r="94">
      <c r="A94" s="20" t="n"/>
      <c r="B94" s="21" t="n"/>
      <c r="C94" s="21" t="n"/>
      <c r="D94" s="22" t="n"/>
      <c r="E94" s="23" t="n"/>
      <c r="F94" s="24" t="n">
        <v>0.52</v>
      </c>
      <c r="G94" s="25">
        <f>IF(E94="","",E94*F94/15)</f>
        <v/>
      </c>
      <c r="H94" s="26" t="n"/>
      <c r="I94" s="26">
        <f>IF(G94="","",G94*H94)</f>
        <v/>
      </c>
      <c r="J94" s="26" t="n"/>
      <c r="K94" s="26">
        <f>IF(I94="","",I94-N(J94))</f>
        <v/>
      </c>
      <c r="L94" s="21" t="n"/>
    </row>
    <row r="95">
      <c r="A95" s="13" t="n"/>
      <c r="B95" s="14" t="n"/>
      <c r="C95" s="14" t="n"/>
      <c r="D95" s="15" t="n"/>
      <c r="E95" s="16" t="n"/>
      <c r="F95" s="17" t="n">
        <v>0.52</v>
      </c>
      <c r="G95" s="18">
        <f>IF(E95="","",E95*F95/15)</f>
        <v/>
      </c>
      <c r="H95" s="19" t="n"/>
      <c r="I95" s="19">
        <f>IF(G95="","",G95*H95)</f>
        <v/>
      </c>
      <c r="J95" s="19" t="n"/>
      <c r="K95" s="19">
        <f>IF(I95="","",I95-N(J95))</f>
        <v/>
      </c>
      <c r="L95" s="14" t="n"/>
    </row>
    <row r="96">
      <c r="A96" s="20" t="n"/>
      <c r="B96" s="21" t="n"/>
      <c r="C96" s="21" t="n"/>
      <c r="D96" s="22" t="n"/>
      <c r="E96" s="23" t="n"/>
      <c r="F96" s="24" t="n">
        <v>0.52</v>
      </c>
      <c r="G96" s="25">
        <f>IF(E96="","",E96*F96/15)</f>
        <v/>
      </c>
      <c r="H96" s="26" t="n"/>
      <c r="I96" s="26">
        <f>IF(G96="","",G96*H96)</f>
        <v/>
      </c>
      <c r="J96" s="26" t="n"/>
      <c r="K96" s="26">
        <f>IF(I96="","",I96-N(J96))</f>
        <v/>
      </c>
      <c r="L96" s="21" t="n"/>
    </row>
    <row r="97">
      <c r="A97" s="13" t="n"/>
      <c r="B97" s="14" t="n"/>
      <c r="C97" s="14" t="n"/>
      <c r="D97" s="15" t="n"/>
      <c r="E97" s="16" t="n"/>
      <c r="F97" s="17" t="n">
        <v>0.52</v>
      </c>
      <c r="G97" s="18">
        <f>IF(E97="","",E97*F97/15)</f>
        <v/>
      </c>
      <c r="H97" s="19" t="n"/>
      <c r="I97" s="19">
        <f>IF(G97="","",G97*H97)</f>
        <v/>
      </c>
      <c r="J97" s="19" t="n"/>
      <c r="K97" s="19">
        <f>IF(I97="","",I97-N(J97))</f>
        <v/>
      </c>
      <c r="L97" s="14" t="n"/>
    </row>
    <row r="98">
      <c r="A98" s="20" t="n"/>
      <c r="B98" s="21" t="n"/>
      <c r="C98" s="21" t="n"/>
      <c r="D98" s="22" t="n"/>
      <c r="E98" s="23" t="n"/>
      <c r="F98" s="24" t="n">
        <v>0.52</v>
      </c>
      <c r="G98" s="25">
        <f>IF(E98="","",E98*F98/15)</f>
        <v/>
      </c>
      <c r="H98" s="26" t="n"/>
      <c r="I98" s="26">
        <f>IF(G98="","",G98*H98)</f>
        <v/>
      </c>
      <c r="J98" s="26" t="n"/>
      <c r="K98" s="26">
        <f>IF(I98="","",I98-N(J98))</f>
        <v/>
      </c>
      <c r="L98" s="21" t="n"/>
    </row>
    <row r="99">
      <c r="A99" s="13" t="n"/>
      <c r="B99" s="14" t="n"/>
      <c r="C99" s="14" t="n"/>
      <c r="D99" s="15" t="n"/>
      <c r="E99" s="16" t="n"/>
      <c r="F99" s="17" t="n">
        <v>0.52</v>
      </c>
      <c r="G99" s="18">
        <f>IF(E99="","",E99*F99/15)</f>
        <v/>
      </c>
      <c r="H99" s="19" t="n"/>
      <c r="I99" s="19">
        <f>IF(G99="","",G99*H99)</f>
        <v/>
      </c>
      <c r="J99" s="19" t="n"/>
      <c r="K99" s="19">
        <f>IF(I99="","",I99-N(J99))</f>
        <v/>
      </c>
      <c r="L99" s="14" t="n"/>
    </row>
    <row r="100">
      <c r="A100" s="20" t="n"/>
      <c r="B100" s="21" t="n"/>
      <c r="C100" s="21" t="n"/>
      <c r="D100" s="22" t="n"/>
      <c r="E100" s="23" t="n"/>
      <c r="F100" s="24" t="n">
        <v>0.52</v>
      </c>
      <c r="G100" s="25">
        <f>IF(E100="","",E100*F100/15)</f>
        <v/>
      </c>
      <c r="H100" s="26" t="n"/>
      <c r="I100" s="26">
        <f>IF(G100="","",G100*H100)</f>
        <v/>
      </c>
      <c r="J100" s="26" t="n"/>
      <c r="K100" s="26">
        <f>IF(I100="","",I100-N(J100))</f>
        <v/>
      </c>
      <c r="L100" s="21" t="n"/>
    </row>
    <row r="101">
      <c r="A101" s="13" t="n"/>
      <c r="B101" s="14" t="n"/>
      <c r="C101" s="14" t="n"/>
      <c r="D101" s="15" t="n"/>
      <c r="E101" s="16" t="n"/>
      <c r="F101" s="17" t="n">
        <v>0.52</v>
      </c>
      <c r="G101" s="18">
        <f>IF(E101="","",E101*F101/15)</f>
        <v/>
      </c>
      <c r="H101" s="19" t="n"/>
      <c r="I101" s="19">
        <f>IF(G101="","",G101*H101)</f>
        <v/>
      </c>
      <c r="J101" s="19" t="n"/>
      <c r="K101" s="19">
        <f>IF(I101="","",I101-N(J101))</f>
        <v/>
      </c>
      <c r="L101" s="14" t="n"/>
    </row>
    <row r="102">
      <c r="A102" s="20" t="n"/>
      <c r="B102" s="21" t="n"/>
      <c r="C102" s="21" t="n"/>
      <c r="D102" s="22" t="n"/>
      <c r="E102" s="23" t="n"/>
      <c r="F102" s="24" t="n">
        <v>0.52</v>
      </c>
      <c r="G102" s="25">
        <f>IF(E102="","",E102*F102/15)</f>
        <v/>
      </c>
      <c r="H102" s="26" t="n"/>
      <c r="I102" s="26">
        <f>IF(G102="","",G102*H102)</f>
        <v/>
      </c>
      <c r="J102" s="26" t="n"/>
      <c r="K102" s="26">
        <f>IF(I102="","",I102-N(J102))</f>
        <v/>
      </c>
      <c r="L102" s="21" t="n"/>
    </row>
    <row r="103">
      <c r="A103" s="13" t="n"/>
      <c r="B103" s="14" t="n"/>
      <c r="C103" s="14" t="n"/>
      <c r="D103" s="15" t="n"/>
      <c r="E103" s="16" t="n"/>
      <c r="F103" s="17" t="n">
        <v>0.52</v>
      </c>
      <c r="G103" s="18">
        <f>IF(E103="","",E103*F103/15)</f>
        <v/>
      </c>
      <c r="H103" s="19" t="n"/>
      <c r="I103" s="19">
        <f>IF(G103="","",G103*H103)</f>
        <v/>
      </c>
      <c r="J103" s="19" t="n"/>
      <c r="K103" s="19">
        <f>IF(I103="","",I103-N(J103))</f>
        <v/>
      </c>
      <c r="L103" s="14" t="n"/>
    </row>
    <row r="104">
      <c r="A104" s="20" t="n"/>
      <c r="B104" s="21" t="n"/>
      <c r="C104" s="21" t="n"/>
      <c r="D104" s="22" t="n"/>
      <c r="E104" s="23" t="n"/>
      <c r="F104" s="24" t="n">
        <v>0.52</v>
      </c>
      <c r="G104" s="25">
        <f>IF(E104="","",E104*F104/15)</f>
        <v/>
      </c>
      <c r="H104" s="26" t="n"/>
      <c r="I104" s="26">
        <f>IF(G104="","",G104*H104)</f>
        <v/>
      </c>
      <c r="J104" s="26" t="n"/>
      <c r="K104" s="26">
        <f>IF(I104="","",I104-N(J104))</f>
        <v/>
      </c>
      <c r="L104" s="21" t="n"/>
    </row>
    <row r="105">
      <c r="A105" s="13" t="n"/>
      <c r="B105" s="14" t="n"/>
      <c r="C105" s="14" t="n"/>
      <c r="D105" s="15" t="n"/>
      <c r="E105" s="16" t="n"/>
      <c r="F105" s="17" t="n">
        <v>0.52</v>
      </c>
      <c r="G105" s="18">
        <f>IF(E105="","",E105*F105/15)</f>
        <v/>
      </c>
      <c r="H105" s="19" t="n"/>
      <c r="I105" s="19">
        <f>IF(G105="","",G105*H105)</f>
        <v/>
      </c>
      <c r="J105" s="19" t="n"/>
      <c r="K105" s="19">
        <f>IF(I105="","",I105-N(J105))</f>
        <v/>
      </c>
      <c r="L105" s="14" t="n"/>
    </row>
    <row r="106">
      <c r="A106" s="20" t="n"/>
      <c r="B106" s="21" t="n"/>
      <c r="C106" s="21" t="n"/>
      <c r="D106" s="22" t="n"/>
      <c r="E106" s="23" t="n"/>
      <c r="F106" s="24" t="n">
        <v>0.52</v>
      </c>
      <c r="G106" s="25">
        <f>IF(E106="","",E106*F106/15)</f>
        <v/>
      </c>
      <c r="H106" s="26" t="n"/>
      <c r="I106" s="26">
        <f>IF(G106="","",G106*H106)</f>
        <v/>
      </c>
      <c r="J106" s="26" t="n"/>
      <c r="K106" s="26">
        <f>IF(I106="","",I106-N(J106))</f>
        <v/>
      </c>
      <c r="L106" s="21" t="n"/>
    </row>
    <row r="107">
      <c r="A107" s="13" t="n"/>
      <c r="B107" s="14" t="n"/>
      <c r="C107" s="14" t="n"/>
      <c r="D107" s="15" t="n"/>
      <c r="E107" s="16" t="n"/>
      <c r="F107" s="17" t="n">
        <v>0.52</v>
      </c>
      <c r="G107" s="18">
        <f>IF(E107="","",E107*F107/15)</f>
        <v/>
      </c>
      <c r="H107" s="19" t="n"/>
      <c r="I107" s="19">
        <f>IF(G107="","",G107*H107)</f>
        <v/>
      </c>
      <c r="J107" s="19" t="n"/>
      <c r="K107" s="19">
        <f>IF(I107="","",I107-N(J107))</f>
        <v/>
      </c>
      <c r="L107" s="14" t="n"/>
    </row>
    <row r="108">
      <c r="A108" s="20" t="n"/>
      <c r="B108" s="21" t="n"/>
      <c r="C108" s="21" t="n"/>
      <c r="D108" s="22" t="n"/>
      <c r="E108" s="23" t="n"/>
      <c r="F108" s="24" t="n">
        <v>0.52</v>
      </c>
      <c r="G108" s="25">
        <f>IF(E108="","",E108*F108/15)</f>
        <v/>
      </c>
      <c r="H108" s="26" t="n"/>
      <c r="I108" s="26">
        <f>IF(G108="","",G108*H108)</f>
        <v/>
      </c>
      <c r="J108" s="26" t="n"/>
      <c r="K108" s="26">
        <f>IF(I108="","",I108-N(J108))</f>
        <v/>
      </c>
      <c r="L108" s="21" t="n"/>
    </row>
    <row r="109">
      <c r="A109" s="13" t="n"/>
      <c r="B109" s="14" t="n"/>
      <c r="C109" s="14" t="n"/>
      <c r="D109" s="15" t="n"/>
      <c r="E109" s="16" t="n"/>
      <c r="F109" s="17" t="n">
        <v>0.52</v>
      </c>
      <c r="G109" s="18">
        <f>IF(E109="","",E109*F109/15)</f>
        <v/>
      </c>
      <c r="H109" s="19" t="n"/>
      <c r="I109" s="19">
        <f>IF(G109="","",G109*H109)</f>
        <v/>
      </c>
      <c r="J109" s="19" t="n"/>
      <c r="K109" s="19">
        <f>IF(I109="","",I109-N(J109))</f>
        <v/>
      </c>
      <c r="L109" s="14" t="n"/>
    </row>
    <row r="110">
      <c r="A110" s="20" t="n"/>
      <c r="B110" s="21" t="n"/>
      <c r="C110" s="21" t="n"/>
      <c r="D110" s="22" t="n"/>
      <c r="E110" s="23" t="n"/>
      <c r="F110" s="24" t="n">
        <v>0.52</v>
      </c>
      <c r="G110" s="25">
        <f>IF(E110="","",E110*F110/15)</f>
        <v/>
      </c>
      <c r="H110" s="26" t="n"/>
      <c r="I110" s="26">
        <f>IF(G110="","",G110*H110)</f>
        <v/>
      </c>
      <c r="J110" s="26" t="n"/>
      <c r="K110" s="26">
        <f>IF(I110="","",I110-N(J110))</f>
        <v/>
      </c>
      <c r="L110" s="21" t="n"/>
    </row>
    <row r="111">
      <c r="A111" s="13" t="n"/>
      <c r="B111" s="14" t="n"/>
      <c r="C111" s="14" t="n"/>
      <c r="D111" s="15" t="n"/>
      <c r="E111" s="16" t="n"/>
      <c r="F111" s="17" t="n">
        <v>0.52</v>
      </c>
      <c r="G111" s="18">
        <f>IF(E111="","",E111*F111/15)</f>
        <v/>
      </c>
      <c r="H111" s="19" t="n"/>
      <c r="I111" s="19">
        <f>IF(G111="","",G111*H111)</f>
        <v/>
      </c>
      <c r="J111" s="19" t="n"/>
      <c r="K111" s="19">
        <f>IF(I111="","",I111-N(J111))</f>
        <v/>
      </c>
      <c r="L111" s="14" t="n"/>
    </row>
    <row r="112">
      <c r="A112" s="20" t="n"/>
      <c r="B112" s="21" t="n"/>
      <c r="C112" s="21" t="n"/>
      <c r="D112" s="22" t="n"/>
      <c r="E112" s="23" t="n"/>
      <c r="F112" s="24" t="n">
        <v>0.52</v>
      </c>
      <c r="G112" s="25">
        <f>IF(E112="","",E112*F112/15)</f>
        <v/>
      </c>
      <c r="H112" s="26" t="n"/>
      <c r="I112" s="26">
        <f>IF(G112="","",G112*H112)</f>
        <v/>
      </c>
      <c r="J112" s="26" t="n"/>
      <c r="K112" s="26">
        <f>IF(I112="","",I112-N(J112))</f>
        <v/>
      </c>
      <c r="L112" s="21" t="n"/>
    </row>
    <row r="113">
      <c r="A113" s="13" t="n"/>
      <c r="B113" s="14" t="n"/>
      <c r="C113" s="14" t="n"/>
      <c r="D113" s="15" t="n"/>
      <c r="E113" s="16" t="n"/>
      <c r="F113" s="17" t="n">
        <v>0.52</v>
      </c>
      <c r="G113" s="18">
        <f>IF(E113="","",E113*F113/15)</f>
        <v/>
      </c>
      <c r="H113" s="19" t="n"/>
      <c r="I113" s="19">
        <f>IF(G113="","",G113*H113)</f>
        <v/>
      </c>
      <c r="J113" s="19" t="n"/>
      <c r="K113" s="19">
        <f>IF(I113="","",I113-N(J113))</f>
        <v/>
      </c>
      <c r="L113" s="14" t="n"/>
    </row>
    <row r="114">
      <c r="A114" s="20" t="n"/>
      <c r="B114" s="21" t="n"/>
      <c r="C114" s="21" t="n"/>
      <c r="D114" s="22" t="n"/>
      <c r="E114" s="23" t="n"/>
      <c r="F114" s="24" t="n">
        <v>0.52</v>
      </c>
      <c r="G114" s="25">
        <f>IF(E114="","",E114*F114/15)</f>
        <v/>
      </c>
      <c r="H114" s="26" t="n"/>
      <c r="I114" s="26">
        <f>IF(G114="","",G114*H114)</f>
        <v/>
      </c>
      <c r="J114" s="26" t="n"/>
      <c r="K114" s="26">
        <f>IF(I114="","",I114-N(J114))</f>
        <v/>
      </c>
      <c r="L114" s="21" t="n"/>
    </row>
    <row r="115">
      <c r="A115" s="13" t="n"/>
      <c r="B115" s="14" t="n"/>
      <c r="C115" s="14" t="n"/>
      <c r="D115" s="15" t="n"/>
      <c r="E115" s="16" t="n"/>
      <c r="F115" s="17" t="n">
        <v>0.52</v>
      </c>
      <c r="G115" s="18">
        <f>IF(E115="","",E115*F115/15)</f>
        <v/>
      </c>
      <c r="H115" s="19" t="n"/>
      <c r="I115" s="19">
        <f>IF(G115="","",G115*H115)</f>
        <v/>
      </c>
      <c r="J115" s="19" t="n"/>
      <c r="K115" s="19">
        <f>IF(I115="","",I115-N(J115))</f>
        <v/>
      </c>
      <c r="L115" s="14" t="n"/>
    </row>
    <row r="116">
      <c r="A116" s="20" t="n"/>
      <c r="B116" s="21" t="n"/>
      <c r="C116" s="21" t="n"/>
      <c r="D116" s="22" t="n"/>
      <c r="E116" s="23" t="n"/>
      <c r="F116" s="24" t="n">
        <v>0.52</v>
      </c>
      <c r="G116" s="25">
        <f>IF(E116="","",E116*F116/15)</f>
        <v/>
      </c>
      <c r="H116" s="26" t="n"/>
      <c r="I116" s="26">
        <f>IF(G116="","",G116*H116)</f>
        <v/>
      </c>
      <c r="J116" s="26" t="n"/>
      <c r="K116" s="26">
        <f>IF(I116="","",I116-N(J116))</f>
        <v/>
      </c>
      <c r="L116" s="21" t="n"/>
    </row>
    <row r="117">
      <c r="A117" s="13" t="n"/>
      <c r="B117" s="14" t="n"/>
      <c r="C117" s="14" t="n"/>
      <c r="D117" s="15" t="n"/>
      <c r="E117" s="16" t="n"/>
      <c r="F117" s="17" t="n">
        <v>0.52</v>
      </c>
      <c r="G117" s="18">
        <f>IF(E117="","",E117*F117/15)</f>
        <v/>
      </c>
      <c r="H117" s="19" t="n"/>
      <c r="I117" s="19">
        <f>IF(G117="","",G117*H117)</f>
        <v/>
      </c>
      <c r="J117" s="19" t="n"/>
      <c r="K117" s="19">
        <f>IF(I117="","",I117-N(J117))</f>
        <v/>
      </c>
      <c r="L117" s="14" t="n"/>
    </row>
    <row r="118">
      <c r="A118" s="20" t="n"/>
      <c r="B118" s="21" t="n"/>
      <c r="C118" s="21" t="n"/>
      <c r="D118" s="22" t="n"/>
      <c r="E118" s="23" t="n"/>
      <c r="F118" s="24" t="n">
        <v>0.52</v>
      </c>
      <c r="G118" s="25">
        <f>IF(E118="","",E118*F118/15)</f>
        <v/>
      </c>
      <c r="H118" s="26" t="n"/>
      <c r="I118" s="26">
        <f>IF(G118="","",G118*H118)</f>
        <v/>
      </c>
      <c r="J118" s="26" t="n"/>
      <c r="K118" s="26">
        <f>IF(I118="","",I118-N(J118))</f>
        <v/>
      </c>
      <c r="L118" s="21" t="n"/>
    </row>
    <row r="119">
      <c r="A119" s="13" t="n"/>
      <c r="B119" s="14" t="n"/>
      <c r="C119" s="14" t="n"/>
      <c r="D119" s="15" t="n"/>
      <c r="E119" s="16" t="n"/>
      <c r="F119" s="17" t="n">
        <v>0.52</v>
      </c>
      <c r="G119" s="18">
        <f>IF(E119="","",E119*F119/15)</f>
        <v/>
      </c>
      <c r="H119" s="19" t="n"/>
      <c r="I119" s="19">
        <f>IF(G119="","",G119*H119)</f>
        <v/>
      </c>
      <c r="J119" s="19" t="n"/>
      <c r="K119" s="19">
        <f>IF(I119="","",I119-N(J119))</f>
        <v/>
      </c>
      <c r="L119" s="14" t="n"/>
    </row>
    <row r="120">
      <c r="A120" s="20" t="n"/>
      <c r="B120" s="21" t="n"/>
      <c r="C120" s="21" t="n"/>
      <c r="D120" s="22" t="n"/>
      <c r="E120" s="23" t="n"/>
      <c r="F120" s="24" t="n">
        <v>0.52</v>
      </c>
      <c r="G120" s="25">
        <f>IF(E120="","",E120*F120/15)</f>
        <v/>
      </c>
      <c r="H120" s="26" t="n"/>
      <c r="I120" s="26">
        <f>IF(G120="","",G120*H120)</f>
        <v/>
      </c>
      <c r="J120" s="26" t="n"/>
      <c r="K120" s="26">
        <f>IF(I120="","",I120-N(J120))</f>
        <v/>
      </c>
      <c r="L120" s="21" t="n"/>
    </row>
    <row r="121">
      <c r="A121" s="13" t="n"/>
      <c r="B121" s="14" t="n"/>
      <c r="C121" s="14" t="n"/>
      <c r="D121" s="15" t="n"/>
      <c r="E121" s="16" t="n"/>
      <c r="F121" s="17" t="n">
        <v>0.52</v>
      </c>
      <c r="G121" s="18">
        <f>IF(E121="","",E121*F121/15)</f>
        <v/>
      </c>
      <c r="H121" s="19" t="n"/>
      <c r="I121" s="19">
        <f>IF(G121="","",G121*H121)</f>
        <v/>
      </c>
      <c r="J121" s="19" t="n"/>
      <c r="K121" s="19">
        <f>IF(I121="","",I121-N(J121))</f>
        <v/>
      </c>
      <c r="L121" s="14" t="n"/>
    </row>
    <row r="122">
      <c r="A122" s="20" t="n"/>
      <c r="B122" s="21" t="n"/>
      <c r="C122" s="21" t="n"/>
      <c r="D122" s="22" t="n"/>
      <c r="E122" s="23" t="n"/>
      <c r="F122" s="24" t="n">
        <v>0.52</v>
      </c>
      <c r="G122" s="25">
        <f>IF(E122="","",E122*F122/15)</f>
        <v/>
      </c>
      <c r="H122" s="26" t="n"/>
      <c r="I122" s="26">
        <f>IF(G122="","",G122*H122)</f>
        <v/>
      </c>
      <c r="J122" s="26" t="n"/>
      <c r="K122" s="26">
        <f>IF(I122="","",I122-N(J122))</f>
        <v/>
      </c>
      <c r="L122" s="21" t="n"/>
    </row>
    <row r="123">
      <c r="A123" s="13" t="n"/>
      <c r="B123" s="14" t="n"/>
      <c r="C123" s="14" t="n"/>
      <c r="D123" s="15" t="n"/>
      <c r="E123" s="16" t="n"/>
      <c r="F123" s="17" t="n">
        <v>0.52</v>
      </c>
      <c r="G123" s="18">
        <f>IF(E123="","",E123*F123/15)</f>
        <v/>
      </c>
      <c r="H123" s="19" t="n"/>
      <c r="I123" s="19">
        <f>IF(G123="","",G123*H123)</f>
        <v/>
      </c>
      <c r="J123" s="19" t="n"/>
      <c r="K123" s="19">
        <f>IF(I123="","",I123-N(J123))</f>
        <v/>
      </c>
      <c r="L123" s="14" t="n"/>
    </row>
    <row r="124">
      <c r="A124" s="20" t="n"/>
      <c r="B124" s="21" t="n"/>
      <c r="C124" s="21" t="n"/>
      <c r="D124" s="22" t="n"/>
      <c r="E124" s="23" t="n"/>
      <c r="F124" s="24" t="n">
        <v>0.52</v>
      </c>
      <c r="G124" s="25">
        <f>IF(E124="","",E124*F124/15)</f>
        <v/>
      </c>
      <c r="H124" s="26" t="n"/>
      <c r="I124" s="26">
        <f>IF(G124="","",G124*H124)</f>
        <v/>
      </c>
      <c r="J124" s="26" t="n"/>
      <c r="K124" s="26">
        <f>IF(I124="","",I124-N(J124))</f>
        <v/>
      </c>
      <c r="L124" s="21" t="n"/>
    </row>
    <row r="125">
      <c r="A125" s="13" t="n"/>
      <c r="B125" s="14" t="n"/>
      <c r="C125" s="14" t="n"/>
      <c r="D125" s="15" t="n"/>
      <c r="E125" s="16" t="n"/>
      <c r="F125" s="17" t="n">
        <v>0.52</v>
      </c>
      <c r="G125" s="18">
        <f>IF(E125="","",E125*F125/15)</f>
        <v/>
      </c>
      <c r="H125" s="19" t="n"/>
      <c r="I125" s="19">
        <f>IF(G125="","",G125*H125)</f>
        <v/>
      </c>
      <c r="J125" s="19" t="n"/>
      <c r="K125" s="19">
        <f>IF(I125="","",I125-N(J125))</f>
        <v/>
      </c>
      <c r="L125" s="14" t="n"/>
    </row>
    <row r="126">
      <c r="A126" s="20" t="n"/>
      <c r="B126" s="21" t="n"/>
      <c r="C126" s="21" t="n"/>
      <c r="D126" s="22" t="n"/>
      <c r="E126" s="23" t="n"/>
      <c r="F126" s="24" t="n">
        <v>0.52</v>
      </c>
      <c r="G126" s="25">
        <f>IF(E126="","",E126*F126/15)</f>
        <v/>
      </c>
      <c r="H126" s="26" t="n"/>
      <c r="I126" s="26">
        <f>IF(G126="","",G126*H126)</f>
        <v/>
      </c>
      <c r="J126" s="26" t="n"/>
      <c r="K126" s="26">
        <f>IF(I126="","",I126-N(J126))</f>
        <v/>
      </c>
      <c r="L126" s="21" t="n"/>
    </row>
    <row r="127">
      <c r="A127" s="13" t="n"/>
      <c r="B127" s="14" t="n"/>
      <c r="C127" s="14" t="n"/>
      <c r="D127" s="15" t="n"/>
      <c r="E127" s="16" t="n"/>
      <c r="F127" s="17" t="n">
        <v>0.52</v>
      </c>
      <c r="G127" s="18">
        <f>IF(E127="","",E127*F127/15)</f>
        <v/>
      </c>
      <c r="H127" s="19" t="n"/>
      <c r="I127" s="19">
        <f>IF(G127="","",G127*H127)</f>
        <v/>
      </c>
      <c r="J127" s="19" t="n"/>
      <c r="K127" s="19">
        <f>IF(I127="","",I127-N(J127))</f>
        <v/>
      </c>
      <c r="L127" s="14" t="n"/>
    </row>
    <row r="128">
      <c r="A128" s="20" t="n"/>
      <c r="B128" s="21" t="n"/>
      <c r="C128" s="21" t="n"/>
      <c r="D128" s="22" t="n"/>
      <c r="E128" s="23" t="n"/>
      <c r="F128" s="24" t="n">
        <v>0.52</v>
      </c>
      <c r="G128" s="25">
        <f>IF(E128="","",E128*F128/15)</f>
        <v/>
      </c>
      <c r="H128" s="26" t="n"/>
      <c r="I128" s="26">
        <f>IF(G128="","",G128*H128)</f>
        <v/>
      </c>
      <c r="J128" s="26" t="n"/>
      <c r="K128" s="26">
        <f>IF(I128="","",I128-N(J128))</f>
        <v/>
      </c>
      <c r="L128" s="21" t="n"/>
    </row>
    <row r="129">
      <c r="A129" s="13" t="n"/>
      <c r="B129" s="14" t="n"/>
      <c r="C129" s="14" t="n"/>
      <c r="D129" s="15" t="n"/>
      <c r="E129" s="16" t="n"/>
      <c r="F129" s="17" t="n">
        <v>0.52</v>
      </c>
      <c r="G129" s="18">
        <f>IF(E129="","",E129*F129/15)</f>
        <v/>
      </c>
      <c r="H129" s="19" t="n"/>
      <c r="I129" s="19">
        <f>IF(G129="","",G129*H129)</f>
        <v/>
      </c>
      <c r="J129" s="19" t="n"/>
      <c r="K129" s="19">
        <f>IF(I129="","",I129-N(J129))</f>
        <v/>
      </c>
      <c r="L129" s="14" t="n"/>
    </row>
    <row r="130">
      <c r="A130" s="20" t="n"/>
      <c r="B130" s="21" t="n"/>
      <c r="C130" s="21" t="n"/>
      <c r="D130" s="22" t="n"/>
      <c r="E130" s="23" t="n"/>
      <c r="F130" s="24" t="n">
        <v>0.52</v>
      </c>
      <c r="G130" s="25">
        <f>IF(E130="","",E130*F130/15)</f>
        <v/>
      </c>
      <c r="H130" s="26" t="n"/>
      <c r="I130" s="26">
        <f>IF(G130="","",G130*H130)</f>
        <v/>
      </c>
      <c r="J130" s="26" t="n"/>
      <c r="K130" s="26">
        <f>IF(I130="","",I130-N(J130))</f>
        <v/>
      </c>
      <c r="L130" s="21" t="n"/>
    </row>
    <row r="131">
      <c r="A131" s="13" t="n"/>
      <c r="B131" s="14" t="n"/>
      <c r="C131" s="14" t="n"/>
      <c r="D131" s="15" t="n"/>
      <c r="E131" s="16" t="n"/>
      <c r="F131" s="17" t="n">
        <v>0.52</v>
      </c>
      <c r="G131" s="18">
        <f>IF(E131="","",E131*F131/15)</f>
        <v/>
      </c>
      <c r="H131" s="19" t="n"/>
      <c r="I131" s="19">
        <f>IF(G131="","",G131*H131)</f>
        <v/>
      </c>
      <c r="J131" s="19" t="n"/>
      <c r="K131" s="19">
        <f>IF(I131="","",I131-N(J131))</f>
        <v/>
      </c>
      <c r="L131" s="14" t="n"/>
    </row>
    <row r="132">
      <c r="A132" s="20" t="n"/>
      <c r="B132" s="21" t="n"/>
      <c r="C132" s="21" t="n"/>
      <c r="D132" s="22" t="n"/>
      <c r="E132" s="23" t="n"/>
      <c r="F132" s="24" t="n">
        <v>0.52</v>
      </c>
      <c r="G132" s="25">
        <f>IF(E132="","",E132*F132/15)</f>
        <v/>
      </c>
      <c r="H132" s="26" t="n"/>
      <c r="I132" s="26">
        <f>IF(G132="","",G132*H132)</f>
        <v/>
      </c>
      <c r="J132" s="26" t="n"/>
      <c r="K132" s="26">
        <f>IF(I132="","",I132-N(J132))</f>
        <v/>
      </c>
      <c r="L132" s="21" t="n"/>
    </row>
    <row r="133">
      <c r="A133" s="13" t="n"/>
      <c r="B133" s="14" t="n"/>
      <c r="C133" s="14" t="n"/>
      <c r="D133" s="15" t="n"/>
      <c r="E133" s="16" t="n"/>
      <c r="F133" s="17" t="n">
        <v>0.52</v>
      </c>
      <c r="G133" s="18">
        <f>IF(E133="","",E133*F133/15)</f>
        <v/>
      </c>
      <c r="H133" s="19" t="n"/>
      <c r="I133" s="19">
        <f>IF(G133="","",G133*H133)</f>
        <v/>
      </c>
      <c r="J133" s="19" t="n"/>
      <c r="K133" s="19">
        <f>IF(I133="","",I133-N(J133))</f>
        <v/>
      </c>
      <c r="L133" s="14" t="n"/>
    </row>
    <row r="134">
      <c r="A134" s="20" t="n"/>
      <c r="B134" s="21" t="n"/>
      <c r="C134" s="21" t="n"/>
      <c r="D134" s="22" t="n"/>
      <c r="E134" s="23" t="n"/>
      <c r="F134" s="24" t="n">
        <v>0.52</v>
      </c>
      <c r="G134" s="25">
        <f>IF(E134="","",E134*F134/15)</f>
        <v/>
      </c>
      <c r="H134" s="26" t="n"/>
      <c r="I134" s="26">
        <f>IF(G134="","",G134*H134)</f>
        <v/>
      </c>
      <c r="J134" s="26" t="n"/>
      <c r="K134" s="26">
        <f>IF(I134="","",I134-N(J134))</f>
        <v/>
      </c>
      <c r="L134" s="21" t="n"/>
    </row>
    <row r="135">
      <c r="A135" s="13" t="n"/>
      <c r="B135" s="14" t="n"/>
      <c r="C135" s="14" t="n"/>
      <c r="D135" s="15" t="n"/>
      <c r="E135" s="16" t="n"/>
      <c r="F135" s="17" t="n">
        <v>0.52</v>
      </c>
      <c r="G135" s="18">
        <f>IF(E135="","",E135*F135/15)</f>
        <v/>
      </c>
      <c r="H135" s="19" t="n"/>
      <c r="I135" s="19">
        <f>IF(G135="","",G135*H135)</f>
        <v/>
      </c>
      <c r="J135" s="19" t="n"/>
      <c r="K135" s="19">
        <f>IF(I135="","",I135-N(J135))</f>
        <v/>
      </c>
      <c r="L135" s="14" t="n"/>
    </row>
    <row r="136">
      <c r="A136" s="20" t="n"/>
      <c r="B136" s="21" t="n"/>
      <c r="C136" s="21" t="n"/>
      <c r="D136" s="22" t="n"/>
      <c r="E136" s="23" t="n"/>
      <c r="F136" s="24" t="n">
        <v>0.52</v>
      </c>
      <c r="G136" s="25">
        <f>IF(E136="","",E136*F136/15)</f>
        <v/>
      </c>
      <c r="H136" s="26" t="n"/>
      <c r="I136" s="26">
        <f>IF(G136="","",G136*H136)</f>
        <v/>
      </c>
      <c r="J136" s="26" t="n"/>
      <c r="K136" s="26">
        <f>IF(I136="","",I136-N(J136))</f>
        <v/>
      </c>
      <c r="L136" s="21" t="n"/>
    </row>
    <row r="137">
      <c r="A137" s="13" t="n"/>
      <c r="B137" s="14" t="n"/>
      <c r="C137" s="14" t="n"/>
      <c r="D137" s="15" t="n"/>
      <c r="E137" s="16" t="n"/>
      <c r="F137" s="17" t="n">
        <v>0.52</v>
      </c>
      <c r="G137" s="18">
        <f>IF(E137="","",E137*F137/15)</f>
        <v/>
      </c>
      <c r="H137" s="19" t="n"/>
      <c r="I137" s="19">
        <f>IF(G137="","",G137*H137)</f>
        <v/>
      </c>
      <c r="J137" s="19" t="n"/>
      <c r="K137" s="19">
        <f>IF(I137="","",I137-N(J137))</f>
        <v/>
      </c>
      <c r="L137" s="14" t="n"/>
    </row>
    <row r="138">
      <c r="A138" s="20" t="n"/>
      <c r="B138" s="21" t="n"/>
      <c r="C138" s="21" t="n"/>
      <c r="D138" s="22" t="n"/>
      <c r="E138" s="23" t="n"/>
      <c r="F138" s="24" t="n">
        <v>0.52</v>
      </c>
      <c r="G138" s="25">
        <f>IF(E138="","",E138*F138/15)</f>
        <v/>
      </c>
      <c r="H138" s="26" t="n"/>
      <c r="I138" s="26">
        <f>IF(G138="","",G138*H138)</f>
        <v/>
      </c>
      <c r="J138" s="26" t="n"/>
      <c r="K138" s="26">
        <f>IF(I138="","",I138-N(J138))</f>
        <v/>
      </c>
      <c r="L138" s="21" t="n"/>
    </row>
    <row r="139">
      <c r="A139" s="13" t="n"/>
      <c r="B139" s="14" t="n"/>
      <c r="C139" s="14" t="n"/>
      <c r="D139" s="15" t="n"/>
      <c r="E139" s="16" t="n"/>
      <c r="F139" s="17" t="n">
        <v>0.52</v>
      </c>
      <c r="G139" s="18">
        <f>IF(E139="","",E139*F139/15)</f>
        <v/>
      </c>
      <c r="H139" s="19" t="n"/>
      <c r="I139" s="19">
        <f>IF(G139="","",G139*H139)</f>
        <v/>
      </c>
      <c r="J139" s="19" t="n"/>
      <c r="K139" s="19">
        <f>IF(I139="","",I139-N(J139))</f>
        <v/>
      </c>
      <c r="L139" s="14" t="n"/>
    </row>
    <row r="140">
      <c r="A140" s="20" t="n"/>
      <c r="B140" s="21" t="n"/>
      <c r="C140" s="21" t="n"/>
      <c r="D140" s="22" t="n"/>
      <c r="E140" s="23" t="n"/>
      <c r="F140" s="24" t="n">
        <v>0.52</v>
      </c>
      <c r="G140" s="25">
        <f>IF(E140="","",E140*F140/15)</f>
        <v/>
      </c>
      <c r="H140" s="26" t="n"/>
      <c r="I140" s="26">
        <f>IF(G140="","",G140*H140)</f>
        <v/>
      </c>
      <c r="J140" s="26" t="n"/>
      <c r="K140" s="26">
        <f>IF(I140="","",I140-N(J140))</f>
        <v/>
      </c>
      <c r="L140" s="21" t="n"/>
    </row>
    <row r="141">
      <c r="A141" s="13" t="n"/>
      <c r="B141" s="14" t="n"/>
      <c r="C141" s="14" t="n"/>
      <c r="D141" s="15" t="n"/>
      <c r="E141" s="16" t="n"/>
      <c r="F141" s="17" t="n">
        <v>0.52</v>
      </c>
      <c r="G141" s="18">
        <f>IF(E141="","",E141*F141/15)</f>
        <v/>
      </c>
      <c r="H141" s="19" t="n"/>
      <c r="I141" s="19">
        <f>IF(G141="","",G141*H141)</f>
        <v/>
      </c>
      <c r="J141" s="19" t="n"/>
      <c r="K141" s="19">
        <f>IF(I141="","",I141-N(J141))</f>
        <v/>
      </c>
      <c r="L141" s="14" t="n"/>
    </row>
    <row r="142">
      <c r="A142" s="20" t="n"/>
      <c r="B142" s="21" t="n"/>
      <c r="C142" s="21" t="n"/>
      <c r="D142" s="22" t="n"/>
      <c r="E142" s="23" t="n"/>
      <c r="F142" s="24" t="n">
        <v>0.52</v>
      </c>
      <c r="G142" s="25">
        <f>IF(E142="","",E142*F142/15)</f>
        <v/>
      </c>
      <c r="H142" s="26" t="n"/>
      <c r="I142" s="26">
        <f>IF(G142="","",G142*H142)</f>
        <v/>
      </c>
      <c r="J142" s="26" t="n"/>
      <c r="K142" s="26">
        <f>IF(I142="","",I142-N(J142))</f>
        <v/>
      </c>
      <c r="L142" s="21" t="n"/>
    </row>
    <row r="143">
      <c r="A143" s="13" t="n"/>
      <c r="B143" s="14" t="n"/>
      <c r="C143" s="14" t="n"/>
      <c r="D143" s="15" t="n"/>
      <c r="E143" s="16" t="n"/>
      <c r="F143" s="17" t="n">
        <v>0.52</v>
      </c>
      <c r="G143" s="18">
        <f>IF(E143="","",E143*F143/15)</f>
        <v/>
      </c>
      <c r="H143" s="19" t="n"/>
      <c r="I143" s="19">
        <f>IF(G143="","",G143*H143)</f>
        <v/>
      </c>
      <c r="J143" s="19" t="n"/>
      <c r="K143" s="19">
        <f>IF(I143="","",I143-N(J143))</f>
        <v/>
      </c>
      <c r="L143" s="14" t="n"/>
    </row>
    <row r="144">
      <c r="A144" s="20" t="n"/>
      <c r="B144" s="21" t="n"/>
      <c r="C144" s="21" t="n"/>
      <c r="D144" s="22" t="n"/>
      <c r="E144" s="23" t="n"/>
      <c r="F144" s="24" t="n">
        <v>0.52</v>
      </c>
      <c r="G144" s="25">
        <f>IF(E144="","",E144*F144/15)</f>
        <v/>
      </c>
      <c r="H144" s="26" t="n"/>
      <c r="I144" s="26">
        <f>IF(G144="","",G144*H144)</f>
        <v/>
      </c>
      <c r="J144" s="26" t="n"/>
      <c r="K144" s="26">
        <f>IF(I144="","",I144-N(J144))</f>
        <v/>
      </c>
      <c r="L144" s="21" t="n"/>
    </row>
    <row r="145">
      <c r="A145" s="13" t="n"/>
      <c r="B145" s="14" t="n"/>
      <c r="C145" s="14" t="n"/>
      <c r="D145" s="15" t="n"/>
      <c r="E145" s="16" t="n"/>
      <c r="F145" s="17" t="n">
        <v>0.52</v>
      </c>
      <c r="G145" s="18">
        <f>IF(E145="","",E145*F145/15)</f>
        <v/>
      </c>
      <c r="H145" s="19" t="n"/>
      <c r="I145" s="19">
        <f>IF(G145="","",G145*H145)</f>
        <v/>
      </c>
      <c r="J145" s="19" t="n"/>
      <c r="K145" s="19">
        <f>IF(I145="","",I145-N(J145))</f>
        <v/>
      </c>
      <c r="L145" s="14" t="n"/>
    </row>
    <row r="146">
      <c r="A146" s="20" t="n"/>
      <c r="B146" s="21" t="n"/>
      <c r="C146" s="21" t="n"/>
      <c r="D146" s="22" t="n"/>
      <c r="E146" s="23" t="n"/>
      <c r="F146" s="24" t="n">
        <v>0.52</v>
      </c>
      <c r="G146" s="25">
        <f>IF(E146="","",E146*F146/15)</f>
        <v/>
      </c>
      <c r="H146" s="26" t="n"/>
      <c r="I146" s="26">
        <f>IF(G146="","",G146*H146)</f>
        <v/>
      </c>
      <c r="J146" s="26" t="n"/>
      <c r="K146" s="26">
        <f>IF(I146="","",I146-N(J146))</f>
        <v/>
      </c>
      <c r="L146" s="21" t="n"/>
    </row>
    <row r="147">
      <c r="A147" s="13" t="n"/>
      <c r="B147" s="14" t="n"/>
      <c r="C147" s="14" t="n"/>
      <c r="D147" s="15" t="n"/>
      <c r="E147" s="16" t="n"/>
      <c r="F147" s="17" t="n">
        <v>0.52</v>
      </c>
      <c r="G147" s="18">
        <f>IF(E147="","",E147*F147/15)</f>
        <v/>
      </c>
      <c r="H147" s="19" t="n"/>
      <c r="I147" s="19">
        <f>IF(G147="","",G147*H147)</f>
        <v/>
      </c>
      <c r="J147" s="19" t="n"/>
      <c r="K147" s="19">
        <f>IF(I147="","",I147-N(J147))</f>
        <v/>
      </c>
      <c r="L147" s="14" t="n"/>
    </row>
    <row r="148">
      <c r="A148" s="20" t="n"/>
      <c r="B148" s="21" t="n"/>
      <c r="C148" s="21" t="n"/>
      <c r="D148" s="22" t="n"/>
      <c r="E148" s="23" t="n"/>
      <c r="F148" s="24" t="n">
        <v>0.52</v>
      </c>
      <c r="G148" s="25">
        <f>IF(E148="","",E148*F148/15)</f>
        <v/>
      </c>
      <c r="H148" s="26" t="n"/>
      <c r="I148" s="26">
        <f>IF(G148="","",G148*H148)</f>
        <v/>
      </c>
      <c r="J148" s="26" t="n"/>
      <c r="K148" s="26">
        <f>IF(I148="","",I148-N(J148))</f>
        <v/>
      </c>
      <c r="L148" s="21" t="n"/>
    </row>
    <row r="149">
      <c r="A149" s="13" t="n"/>
      <c r="B149" s="14" t="n"/>
      <c r="C149" s="14" t="n"/>
      <c r="D149" s="15" t="n"/>
      <c r="E149" s="16" t="n"/>
      <c r="F149" s="17" t="n">
        <v>0.52</v>
      </c>
      <c r="G149" s="18">
        <f>IF(E149="","",E149*F149/15)</f>
        <v/>
      </c>
      <c r="H149" s="19" t="n"/>
      <c r="I149" s="19">
        <f>IF(G149="","",G149*H149)</f>
        <v/>
      </c>
      <c r="J149" s="19" t="n"/>
      <c r="K149" s="19">
        <f>IF(I149="","",I149-N(J149))</f>
        <v/>
      </c>
      <c r="L149" s="14" t="n"/>
    </row>
    <row r="150">
      <c r="A150" s="20" t="n"/>
      <c r="B150" s="21" t="n"/>
      <c r="C150" s="21" t="n"/>
      <c r="D150" s="22" t="n"/>
      <c r="E150" s="23" t="n"/>
      <c r="F150" s="24" t="n">
        <v>0.52</v>
      </c>
      <c r="G150" s="25">
        <f>IF(E150="","",E150*F150/15)</f>
        <v/>
      </c>
      <c r="H150" s="26" t="n"/>
      <c r="I150" s="26">
        <f>IF(G150="","",G150*H150)</f>
        <v/>
      </c>
      <c r="J150" s="26" t="n"/>
      <c r="K150" s="26">
        <f>IF(I150="","",I150-N(J150))</f>
        <v/>
      </c>
      <c r="L150" s="21" t="n"/>
    </row>
    <row r="151">
      <c r="A151" s="13" t="n"/>
      <c r="B151" s="14" t="n"/>
      <c r="C151" s="14" t="n"/>
      <c r="D151" s="15" t="n"/>
      <c r="E151" s="16" t="n"/>
      <c r="F151" s="17" t="n">
        <v>0.52</v>
      </c>
      <c r="G151" s="18">
        <f>IF(E151="","",E151*F151/15)</f>
        <v/>
      </c>
      <c r="H151" s="19" t="n"/>
      <c r="I151" s="19">
        <f>IF(G151="","",G151*H151)</f>
        <v/>
      </c>
      <c r="J151" s="19" t="n"/>
      <c r="K151" s="19">
        <f>IF(I151="","",I151-N(J151))</f>
        <v/>
      </c>
      <c r="L151" s="14" t="n"/>
    </row>
    <row r="152">
      <c r="A152" s="20" t="n"/>
      <c r="B152" s="21" t="n"/>
      <c r="C152" s="21" t="n"/>
      <c r="D152" s="22" t="n"/>
      <c r="E152" s="23" t="n"/>
      <c r="F152" s="24" t="n">
        <v>0.52</v>
      </c>
      <c r="G152" s="25">
        <f>IF(E152="","",E152*F152/15)</f>
        <v/>
      </c>
      <c r="H152" s="26" t="n"/>
      <c r="I152" s="26">
        <f>IF(G152="","",G152*H152)</f>
        <v/>
      </c>
      <c r="J152" s="26" t="n"/>
      <c r="K152" s="26">
        <f>IF(I152="","",I152-N(J152))</f>
        <v/>
      </c>
      <c r="L152" s="21" t="n"/>
    </row>
    <row r="153">
      <c r="A153" s="13" t="n"/>
      <c r="B153" s="14" t="n"/>
      <c r="C153" s="14" t="n"/>
      <c r="D153" s="15" t="n"/>
      <c r="E153" s="16" t="n"/>
      <c r="F153" s="17" t="n">
        <v>0.52</v>
      </c>
      <c r="G153" s="18">
        <f>IF(E153="","",E153*F153/15)</f>
        <v/>
      </c>
      <c r="H153" s="19" t="n"/>
      <c r="I153" s="19">
        <f>IF(G153="","",G153*H153)</f>
        <v/>
      </c>
      <c r="J153" s="19" t="n"/>
      <c r="K153" s="19">
        <f>IF(I153="","",I153-N(J153))</f>
        <v/>
      </c>
      <c r="L153" s="14" t="n"/>
    </row>
    <row r="154">
      <c r="A154" s="20" t="n"/>
      <c r="B154" s="21" t="n"/>
      <c r="C154" s="21" t="n"/>
      <c r="D154" s="22" t="n"/>
      <c r="E154" s="23" t="n"/>
      <c r="F154" s="24" t="n">
        <v>0.52</v>
      </c>
      <c r="G154" s="25">
        <f>IF(E154="","",E154*F154/15)</f>
        <v/>
      </c>
      <c r="H154" s="26" t="n"/>
      <c r="I154" s="26">
        <f>IF(G154="","",G154*H154)</f>
        <v/>
      </c>
      <c r="J154" s="26" t="n"/>
      <c r="K154" s="26">
        <f>IF(I154="","",I154-N(J154))</f>
        <v/>
      </c>
      <c r="L154" s="21" t="n"/>
    </row>
    <row r="155">
      <c r="A155" s="13" t="n"/>
      <c r="B155" s="14" t="n"/>
      <c r="C155" s="14" t="n"/>
      <c r="D155" s="15" t="n"/>
      <c r="E155" s="16" t="n"/>
      <c r="F155" s="17" t="n">
        <v>0.52</v>
      </c>
      <c r="G155" s="18">
        <f>IF(E155="","",E155*F155/15)</f>
        <v/>
      </c>
      <c r="H155" s="19" t="n"/>
      <c r="I155" s="19">
        <f>IF(G155="","",G155*H155)</f>
        <v/>
      </c>
      <c r="J155" s="19" t="n"/>
      <c r="K155" s="19">
        <f>IF(I155="","",I155-N(J155))</f>
        <v/>
      </c>
      <c r="L155" s="14" t="n"/>
    </row>
    <row r="156">
      <c r="A156" s="20" t="n"/>
      <c r="B156" s="21" t="n"/>
      <c r="C156" s="21" t="n"/>
      <c r="D156" s="22" t="n"/>
      <c r="E156" s="23" t="n"/>
      <c r="F156" s="24" t="n">
        <v>0.52</v>
      </c>
      <c r="G156" s="25">
        <f>IF(E156="","",E156*F156/15)</f>
        <v/>
      </c>
      <c r="H156" s="26" t="n"/>
      <c r="I156" s="26">
        <f>IF(G156="","",G156*H156)</f>
        <v/>
      </c>
      <c r="J156" s="26" t="n"/>
      <c r="K156" s="26">
        <f>IF(I156="","",I156-N(J156))</f>
        <v/>
      </c>
      <c r="L156" s="21" t="n"/>
    </row>
    <row r="157">
      <c r="A157" s="13" t="n"/>
      <c r="B157" s="14" t="n"/>
      <c r="C157" s="14" t="n"/>
      <c r="D157" s="15" t="n"/>
      <c r="E157" s="16" t="n"/>
      <c r="F157" s="17" t="n">
        <v>0.52</v>
      </c>
      <c r="G157" s="18">
        <f>IF(E157="","",E157*F157/15)</f>
        <v/>
      </c>
      <c r="H157" s="19" t="n"/>
      <c r="I157" s="19">
        <f>IF(G157="","",G157*H157)</f>
        <v/>
      </c>
      <c r="J157" s="19" t="n"/>
      <c r="K157" s="19">
        <f>IF(I157="","",I157-N(J157))</f>
        <v/>
      </c>
      <c r="L157" s="14" t="n"/>
    </row>
    <row r="158">
      <c r="A158" s="20" t="n"/>
      <c r="B158" s="21" t="n"/>
      <c r="C158" s="21" t="n"/>
      <c r="D158" s="22" t="n"/>
      <c r="E158" s="23" t="n"/>
      <c r="F158" s="24" t="n">
        <v>0.52</v>
      </c>
      <c r="G158" s="25">
        <f>IF(E158="","",E158*F158/15)</f>
        <v/>
      </c>
      <c r="H158" s="26" t="n"/>
      <c r="I158" s="26">
        <f>IF(G158="","",G158*H158)</f>
        <v/>
      </c>
      <c r="J158" s="26" t="n"/>
      <c r="K158" s="26">
        <f>IF(I158="","",I158-N(J158))</f>
        <v/>
      </c>
      <c r="L158" s="21" t="n"/>
    </row>
    <row r="159">
      <c r="A159" s="13" t="n"/>
      <c r="B159" s="14" t="n"/>
      <c r="C159" s="14" t="n"/>
      <c r="D159" s="15" t="n"/>
      <c r="E159" s="16" t="n"/>
      <c r="F159" s="17" t="n">
        <v>0.52</v>
      </c>
      <c r="G159" s="18">
        <f>IF(E159="","",E159*F159/15)</f>
        <v/>
      </c>
      <c r="H159" s="19" t="n"/>
      <c r="I159" s="19">
        <f>IF(G159="","",G159*H159)</f>
        <v/>
      </c>
      <c r="J159" s="19" t="n"/>
      <c r="K159" s="19">
        <f>IF(I159="","",I159-N(J159))</f>
        <v/>
      </c>
      <c r="L159" s="14" t="n"/>
    </row>
    <row r="160">
      <c r="A160" s="20" t="n"/>
      <c r="B160" s="21" t="n"/>
      <c r="C160" s="21" t="n"/>
      <c r="D160" s="22" t="n"/>
      <c r="E160" s="23" t="n"/>
      <c r="F160" s="24" t="n">
        <v>0.52</v>
      </c>
      <c r="G160" s="25">
        <f>IF(E160="","",E160*F160/15)</f>
        <v/>
      </c>
      <c r="H160" s="26" t="n"/>
      <c r="I160" s="26">
        <f>IF(G160="","",G160*H160)</f>
        <v/>
      </c>
      <c r="J160" s="26" t="n"/>
      <c r="K160" s="26">
        <f>IF(I160="","",I160-N(J160))</f>
        <v/>
      </c>
      <c r="L160" s="21" t="n"/>
    </row>
    <row r="161">
      <c r="A161" s="13" t="n"/>
      <c r="B161" s="14" t="n"/>
      <c r="C161" s="14" t="n"/>
      <c r="D161" s="15" t="n"/>
      <c r="E161" s="16" t="n"/>
      <c r="F161" s="17" t="n">
        <v>0.52</v>
      </c>
      <c r="G161" s="18">
        <f>IF(E161="","",E161*F161/15)</f>
        <v/>
      </c>
      <c r="H161" s="19" t="n"/>
      <c r="I161" s="19">
        <f>IF(G161="","",G161*H161)</f>
        <v/>
      </c>
      <c r="J161" s="19" t="n"/>
      <c r="K161" s="19">
        <f>IF(I161="","",I161-N(J161))</f>
        <v/>
      </c>
      <c r="L161" s="14" t="n"/>
    </row>
    <row r="162">
      <c r="A162" s="20" t="n"/>
      <c r="B162" s="21" t="n"/>
      <c r="C162" s="21" t="n"/>
      <c r="D162" s="22" t="n"/>
      <c r="E162" s="23" t="n"/>
      <c r="F162" s="24" t="n">
        <v>0.52</v>
      </c>
      <c r="G162" s="25">
        <f>IF(E162="","",E162*F162/15)</f>
        <v/>
      </c>
      <c r="H162" s="26" t="n"/>
      <c r="I162" s="26">
        <f>IF(G162="","",G162*H162)</f>
        <v/>
      </c>
      <c r="J162" s="26" t="n"/>
      <c r="K162" s="26">
        <f>IF(I162="","",I162-N(J162))</f>
        <v/>
      </c>
      <c r="L162" s="21" t="n"/>
    </row>
    <row r="163">
      <c r="A163" s="13" t="n"/>
      <c r="B163" s="14" t="n"/>
      <c r="C163" s="14" t="n"/>
      <c r="D163" s="15" t="n"/>
      <c r="E163" s="16" t="n"/>
      <c r="F163" s="17" t="n">
        <v>0.52</v>
      </c>
      <c r="G163" s="18">
        <f>IF(E163="","",E163*F163/15)</f>
        <v/>
      </c>
      <c r="H163" s="19" t="n"/>
      <c r="I163" s="19">
        <f>IF(G163="","",G163*H163)</f>
        <v/>
      </c>
      <c r="J163" s="19" t="n"/>
      <c r="K163" s="19">
        <f>IF(I163="","",I163-N(J163))</f>
        <v/>
      </c>
      <c r="L163" s="14" t="n"/>
    </row>
    <row r="164">
      <c r="A164" s="20" t="n"/>
      <c r="B164" s="21" t="n"/>
      <c r="C164" s="21" t="n"/>
      <c r="D164" s="22" t="n"/>
      <c r="E164" s="23" t="n"/>
      <c r="F164" s="24" t="n">
        <v>0.52</v>
      </c>
      <c r="G164" s="25">
        <f>IF(E164="","",E164*F164/15)</f>
        <v/>
      </c>
      <c r="H164" s="26" t="n"/>
      <c r="I164" s="26">
        <f>IF(G164="","",G164*H164)</f>
        <v/>
      </c>
      <c r="J164" s="26" t="n"/>
      <c r="K164" s="26">
        <f>IF(I164="","",I164-N(J164))</f>
        <v/>
      </c>
      <c r="L164" s="21" t="n"/>
    </row>
    <row r="165">
      <c r="A165" s="13" t="n"/>
      <c r="B165" s="14" t="n"/>
      <c r="C165" s="14" t="n"/>
      <c r="D165" s="15" t="n"/>
      <c r="E165" s="16" t="n"/>
      <c r="F165" s="17" t="n">
        <v>0.52</v>
      </c>
      <c r="G165" s="18">
        <f>IF(E165="","",E165*F165/15)</f>
        <v/>
      </c>
      <c r="H165" s="19" t="n"/>
      <c r="I165" s="19">
        <f>IF(G165="","",G165*H165)</f>
        <v/>
      </c>
      <c r="J165" s="19" t="n"/>
      <c r="K165" s="19">
        <f>IF(I165="","",I165-N(J165))</f>
        <v/>
      </c>
      <c r="L165" s="14" t="n"/>
    </row>
    <row r="166">
      <c r="A166" s="20" t="n"/>
      <c r="B166" s="21" t="n"/>
      <c r="C166" s="21" t="n"/>
      <c r="D166" s="22" t="n"/>
      <c r="E166" s="23" t="n"/>
      <c r="F166" s="24" t="n">
        <v>0.52</v>
      </c>
      <c r="G166" s="25">
        <f>IF(E166="","",E166*F166/15)</f>
        <v/>
      </c>
      <c r="H166" s="26" t="n"/>
      <c r="I166" s="26">
        <f>IF(G166="","",G166*H166)</f>
        <v/>
      </c>
      <c r="J166" s="26" t="n"/>
      <c r="K166" s="26">
        <f>IF(I166="","",I166-N(J166))</f>
        <v/>
      </c>
      <c r="L166" s="21" t="n"/>
    </row>
    <row r="167">
      <c r="A167" s="13" t="n"/>
      <c r="B167" s="14" t="n"/>
      <c r="C167" s="14" t="n"/>
      <c r="D167" s="15" t="n"/>
      <c r="E167" s="16" t="n"/>
      <c r="F167" s="17" t="n">
        <v>0.52</v>
      </c>
      <c r="G167" s="18">
        <f>IF(E167="","",E167*F167/15)</f>
        <v/>
      </c>
      <c r="H167" s="19" t="n"/>
      <c r="I167" s="19">
        <f>IF(G167="","",G167*H167)</f>
        <v/>
      </c>
      <c r="J167" s="19" t="n"/>
      <c r="K167" s="19">
        <f>IF(I167="","",I167-N(J167))</f>
        <v/>
      </c>
      <c r="L167" s="14" t="n"/>
    </row>
    <row r="168">
      <c r="A168" s="20" t="n"/>
      <c r="B168" s="21" t="n"/>
      <c r="C168" s="21" t="n"/>
      <c r="D168" s="22" t="n"/>
      <c r="E168" s="23" t="n"/>
      <c r="F168" s="24" t="n">
        <v>0.52</v>
      </c>
      <c r="G168" s="25">
        <f>IF(E168="","",E168*F168/15)</f>
        <v/>
      </c>
      <c r="H168" s="26" t="n"/>
      <c r="I168" s="26">
        <f>IF(G168="","",G168*H168)</f>
        <v/>
      </c>
      <c r="J168" s="26" t="n"/>
      <c r="K168" s="26">
        <f>IF(I168="","",I168-N(J168))</f>
        <v/>
      </c>
      <c r="L168" s="21" t="n"/>
    </row>
    <row r="169">
      <c r="A169" s="13" t="n"/>
      <c r="B169" s="14" t="n"/>
      <c r="C169" s="14" t="n"/>
      <c r="D169" s="15" t="n"/>
      <c r="E169" s="16" t="n"/>
      <c r="F169" s="17" t="n">
        <v>0.52</v>
      </c>
      <c r="G169" s="18">
        <f>IF(E169="","",E169*F169/15)</f>
        <v/>
      </c>
      <c r="H169" s="19" t="n"/>
      <c r="I169" s="19">
        <f>IF(G169="","",G169*H169)</f>
        <v/>
      </c>
      <c r="J169" s="19" t="n"/>
      <c r="K169" s="19">
        <f>IF(I169="","",I169-N(J169))</f>
        <v/>
      </c>
      <c r="L169" s="14" t="n"/>
    </row>
    <row r="170">
      <c r="A170" s="20" t="n"/>
      <c r="B170" s="21" t="n"/>
      <c r="C170" s="21" t="n"/>
      <c r="D170" s="22" t="n"/>
      <c r="E170" s="23" t="n"/>
      <c r="F170" s="24" t="n">
        <v>0.52</v>
      </c>
      <c r="G170" s="25">
        <f>IF(E170="","",E170*F170/15)</f>
        <v/>
      </c>
      <c r="H170" s="26" t="n"/>
      <c r="I170" s="26">
        <f>IF(G170="","",G170*H170)</f>
        <v/>
      </c>
      <c r="J170" s="26" t="n"/>
      <c r="K170" s="26">
        <f>IF(I170="","",I170-N(J170))</f>
        <v/>
      </c>
      <c r="L170" s="21" t="n"/>
    </row>
    <row r="171">
      <c r="A171" s="13" t="n"/>
      <c r="B171" s="14" t="n"/>
      <c r="C171" s="14" t="n"/>
      <c r="D171" s="15" t="n"/>
      <c r="E171" s="16" t="n"/>
      <c r="F171" s="17" t="n">
        <v>0.52</v>
      </c>
      <c r="G171" s="18">
        <f>IF(E171="","",E171*F171/15)</f>
        <v/>
      </c>
      <c r="H171" s="19" t="n"/>
      <c r="I171" s="19">
        <f>IF(G171="","",G171*H171)</f>
        <v/>
      </c>
      <c r="J171" s="19" t="n"/>
      <c r="K171" s="19">
        <f>IF(I171="","",I171-N(J171))</f>
        <v/>
      </c>
      <c r="L171" s="14" t="n"/>
    </row>
    <row r="172">
      <c r="A172" s="20" t="n"/>
      <c r="B172" s="21" t="n"/>
      <c r="C172" s="21" t="n"/>
      <c r="D172" s="22" t="n"/>
      <c r="E172" s="23" t="n"/>
      <c r="F172" s="24" t="n">
        <v>0.52</v>
      </c>
      <c r="G172" s="25">
        <f>IF(E172="","",E172*F172/15)</f>
        <v/>
      </c>
      <c r="H172" s="26" t="n"/>
      <c r="I172" s="26">
        <f>IF(G172="","",G172*H172)</f>
        <v/>
      </c>
      <c r="J172" s="26" t="n"/>
      <c r="K172" s="26">
        <f>IF(I172="","",I172-N(J172))</f>
        <v/>
      </c>
      <c r="L172" s="21" t="n"/>
    </row>
    <row r="173">
      <c r="A173" s="13" t="n"/>
      <c r="B173" s="14" t="n"/>
      <c r="C173" s="14" t="n"/>
      <c r="D173" s="15" t="n"/>
      <c r="E173" s="16" t="n"/>
      <c r="F173" s="17" t="n">
        <v>0.52</v>
      </c>
      <c r="G173" s="18">
        <f>IF(E173="","",E173*F173/15)</f>
        <v/>
      </c>
      <c r="H173" s="19" t="n"/>
      <c r="I173" s="19">
        <f>IF(G173="","",G173*H173)</f>
        <v/>
      </c>
      <c r="J173" s="19" t="n"/>
      <c r="K173" s="19">
        <f>IF(I173="","",I173-N(J173))</f>
        <v/>
      </c>
      <c r="L173" s="14" t="n"/>
    </row>
    <row r="174">
      <c r="A174" s="20" t="n"/>
      <c r="B174" s="21" t="n"/>
      <c r="C174" s="21" t="n"/>
      <c r="D174" s="22" t="n"/>
      <c r="E174" s="23" t="n"/>
      <c r="F174" s="24" t="n">
        <v>0.52</v>
      </c>
      <c r="G174" s="25">
        <f>IF(E174="","",E174*F174/15)</f>
        <v/>
      </c>
      <c r="H174" s="26" t="n"/>
      <c r="I174" s="26">
        <f>IF(G174="","",G174*H174)</f>
        <v/>
      </c>
      <c r="J174" s="26" t="n"/>
      <c r="K174" s="26">
        <f>IF(I174="","",I174-N(J174))</f>
        <v/>
      </c>
      <c r="L174" s="21" t="n"/>
    </row>
    <row r="175">
      <c r="A175" s="13" t="n"/>
      <c r="B175" s="14" t="n"/>
      <c r="C175" s="14" t="n"/>
      <c r="D175" s="15" t="n"/>
      <c r="E175" s="16" t="n"/>
      <c r="F175" s="17" t="n">
        <v>0.52</v>
      </c>
      <c r="G175" s="18">
        <f>IF(E175="","",E175*F175/15)</f>
        <v/>
      </c>
      <c r="H175" s="19" t="n"/>
      <c r="I175" s="19">
        <f>IF(G175="","",G175*H175)</f>
        <v/>
      </c>
      <c r="J175" s="19" t="n"/>
      <c r="K175" s="19">
        <f>IF(I175="","",I175-N(J175))</f>
        <v/>
      </c>
      <c r="L175" s="14" t="n"/>
    </row>
    <row r="176">
      <c r="A176" s="20" t="n"/>
      <c r="B176" s="21" t="n"/>
      <c r="C176" s="21" t="n"/>
      <c r="D176" s="22" t="n"/>
      <c r="E176" s="23" t="n"/>
      <c r="F176" s="24" t="n">
        <v>0.52</v>
      </c>
      <c r="G176" s="25">
        <f>IF(E176="","",E176*F176/15)</f>
        <v/>
      </c>
      <c r="H176" s="26" t="n"/>
      <c r="I176" s="26">
        <f>IF(G176="","",G176*H176)</f>
        <v/>
      </c>
      <c r="J176" s="26" t="n"/>
      <c r="K176" s="26">
        <f>IF(I176="","",I176-N(J176))</f>
        <v/>
      </c>
      <c r="L176" s="21" t="n"/>
    </row>
    <row r="177">
      <c r="A177" s="13" t="n"/>
      <c r="B177" s="14" t="n"/>
      <c r="C177" s="14" t="n"/>
      <c r="D177" s="15" t="n"/>
      <c r="E177" s="16" t="n"/>
      <c r="F177" s="17" t="n">
        <v>0.52</v>
      </c>
      <c r="G177" s="18">
        <f>IF(E177="","",E177*F177/15)</f>
        <v/>
      </c>
      <c r="H177" s="19" t="n"/>
      <c r="I177" s="19">
        <f>IF(G177="","",G177*H177)</f>
        <v/>
      </c>
      <c r="J177" s="19" t="n"/>
      <c r="K177" s="19">
        <f>IF(I177="","",I177-N(J177))</f>
        <v/>
      </c>
      <c r="L177" s="14" t="n"/>
    </row>
    <row r="178">
      <c r="A178" s="20" t="n"/>
      <c r="B178" s="21" t="n"/>
      <c r="C178" s="21" t="n"/>
      <c r="D178" s="22" t="n"/>
      <c r="E178" s="23" t="n"/>
      <c r="F178" s="24" t="n">
        <v>0.52</v>
      </c>
      <c r="G178" s="25">
        <f>IF(E178="","",E178*F178/15)</f>
        <v/>
      </c>
      <c r="H178" s="26" t="n"/>
      <c r="I178" s="26">
        <f>IF(G178="","",G178*H178)</f>
        <v/>
      </c>
      <c r="J178" s="26" t="n"/>
      <c r="K178" s="26">
        <f>IF(I178="","",I178-N(J178))</f>
        <v/>
      </c>
      <c r="L178" s="21" t="n"/>
    </row>
    <row r="179">
      <c r="A179" s="13" t="n"/>
      <c r="B179" s="14" t="n"/>
      <c r="C179" s="14" t="n"/>
      <c r="D179" s="15" t="n"/>
      <c r="E179" s="16" t="n"/>
      <c r="F179" s="17" t="n">
        <v>0.52</v>
      </c>
      <c r="G179" s="18">
        <f>IF(E179="","",E179*F179/15)</f>
        <v/>
      </c>
      <c r="H179" s="19" t="n"/>
      <c r="I179" s="19">
        <f>IF(G179="","",G179*H179)</f>
        <v/>
      </c>
      <c r="J179" s="19" t="n"/>
      <c r="K179" s="19">
        <f>IF(I179="","",I179-N(J179))</f>
        <v/>
      </c>
      <c r="L179" s="14" t="n"/>
    </row>
    <row r="180">
      <c r="A180" s="20" t="n"/>
      <c r="B180" s="21" t="n"/>
      <c r="C180" s="21" t="n"/>
      <c r="D180" s="22" t="n"/>
      <c r="E180" s="23" t="n"/>
      <c r="F180" s="24" t="n">
        <v>0.52</v>
      </c>
      <c r="G180" s="25">
        <f>IF(E180="","",E180*F180/15)</f>
        <v/>
      </c>
      <c r="H180" s="26" t="n"/>
      <c r="I180" s="26">
        <f>IF(G180="","",G180*H180)</f>
        <v/>
      </c>
      <c r="J180" s="26" t="n"/>
      <c r="K180" s="26">
        <f>IF(I180="","",I180-N(J180))</f>
        <v/>
      </c>
      <c r="L180" s="21" t="n"/>
    </row>
    <row r="181">
      <c r="A181" s="13" t="n"/>
      <c r="B181" s="14" t="n"/>
      <c r="C181" s="14" t="n"/>
      <c r="D181" s="15" t="n"/>
      <c r="E181" s="16" t="n"/>
      <c r="F181" s="17" t="n">
        <v>0.52</v>
      </c>
      <c r="G181" s="18">
        <f>IF(E181="","",E181*F181/15)</f>
        <v/>
      </c>
      <c r="H181" s="19" t="n"/>
      <c r="I181" s="19">
        <f>IF(G181="","",G181*H181)</f>
        <v/>
      </c>
      <c r="J181" s="19" t="n"/>
      <c r="K181" s="19">
        <f>IF(I181="","",I181-N(J181))</f>
        <v/>
      </c>
      <c r="L181" s="14" t="n"/>
    </row>
    <row r="182">
      <c r="A182" s="20" t="n"/>
      <c r="B182" s="21" t="n"/>
      <c r="C182" s="21" t="n"/>
      <c r="D182" s="22" t="n"/>
      <c r="E182" s="23" t="n"/>
      <c r="F182" s="24" t="n">
        <v>0.52</v>
      </c>
      <c r="G182" s="25">
        <f>IF(E182="","",E182*F182/15)</f>
        <v/>
      </c>
      <c r="H182" s="26" t="n"/>
      <c r="I182" s="26">
        <f>IF(G182="","",G182*H182)</f>
        <v/>
      </c>
      <c r="J182" s="26" t="n"/>
      <c r="K182" s="26">
        <f>IF(I182="","",I182-N(J182))</f>
        <v/>
      </c>
      <c r="L182" s="21" t="n"/>
    </row>
    <row r="183">
      <c r="A183" s="13" t="n"/>
      <c r="B183" s="14" t="n"/>
      <c r="C183" s="14" t="n"/>
      <c r="D183" s="15" t="n"/>
      <c r="E183" s="16" t="n"/>
      <c r="F183" s="17" t="n">
        <v>0.52</v>
      </c>
      <c r="G183" s="18">
        <f>IF(E183="","",E183*F183/15)</f>
        <v/>
      </c>
      <c r="H183" s="19" t="n"/>
      <c r="I183" s="19">
        <f>IF(G183="","",G183*H183)</f>
        <v/>
      </c>
      <c r="J183" s="19" t="n"/>
      <c r="K183" s="19">
        <f>IF(I183="","",I183-N(J183))</f>
        <v/>
      </c>
      <c r="L183" s="14" t="n"/>
    </row>
    <row r="184">
      <c r="A184" s="20" t="n"/>
      <c r="B184" s="21" t="n"/>
      <c r="C184" s="21" t="n"/>
      <c r="D184" s="22" t="n"/>
      <c r="E184" s="23" t="n"/>
      <c r="F184" s="24" t="n">
        <v>0.52</v>
      </c>
      <c r="G184" s="25">
        <f>IF(E184="","",E184*F184/15)</f>
        <v/>
      </c>
      <c r="H184" s="26" t="n"/>
      <c r="I184" s="26">
        <f>IF(G184="","",G184*H184)</f>
        <v/>
      </c>
      <c r="J184" s="26" t="n"/>
      <c r="K184" s="26">
        <f>IF(I184="","",I184-N(J184))</f>
        <v/>
      </c>
      <c r="L184" s="21" t="n"/>
    </row>
    <row r="185">
      <c r="A185" s="13" t="n"/>
      <c r="B185" s="14" t="n"/>
      <c r="C185" s="14" t="n"/>
      <c r="D185" s="15" t="n"/>
      <c r="E185" s="16" t="n"/>
      <c r="F185" s="17" t="n">
        <v>0.52</v>
      </c>
      <c r="G185" s="18">
        <f>IF(E185="","",E185*F185/15)</f>
        <v/>
      </c>
      <c r="H185" s="19" t="n"/>
      <c r="I185" s="19">
        <f>IF(G185="","",G185*H185)</f>
        <v/>
      </c>
      <c r="J185" s="19" t="n"/>
      <c r="K185" s="19">
        <f>IF(I185="","",I185-N(J185))</f>
        <v/>
      </c>
      <c r="L185" s="14" t="n"/>
    </row>
    <row r="186">
      <c r="A186" s="20" t="n"/>
      <c r="B186" s="21" t="n"/>
      <c r="C186" s="21" t="n"/>
      <c r="D186" s="22" t="n"/>
      <c r="E186" s="23" t="n"/>
      <c r="F186" s="24" t="n">
        <v>0.52</v>
      </c>
      <c r="G186" s="25">
        <f>IF(E186="","",E186*F186/15)</f>
        <v/>
      </c>
      <c r="H186" s="26" t="n"/>
      <c r="I186" s="26">
        <f>IF(G186="","",G186*H186)</f>
        <v/>
      </c>
      <c r="J186" s="26" t="n"/>
      <c r="K186" s="26">
        <f>IF(I186="","",I186-N(J186))</f>
        <v/>
      </c>
      <c r="L186" s="21" t="n"/>
    </row>
    <row r="187">
      <c r="A187" s="13" t="n"/>
      <c r="B187" s="14" t="n"/>
      <c r="C187" s="14" t="n"/>
      <c r="D187" s="15" t="n"/>
      <c r="E187" s="16" t="n"/>
      <c r="F187" s="17" t="n">
        <v>0.52</v>
      </c>
      <c r="G187" s="18">
        <f>IF(E187="","",E187*F187/15)</f>
        <v/>
      </c>
      <c r="H187" s="19" t="n"/>
      <c r="I187" s="19">
        <f>IF(G187="","",G187*H187)</f>
        <v/>
      </c>
      <c r="J187" s="19" t="n"/>
      <c r="K187" s="19">
        <f>IF(I187="","",I187-N(J187))</f>
        <v/>
      </c>
      <c r="L187" s="14" t="n"/>
    </row>
    <row r="188">
      <c r="A188" s="20" t="n"/>
      <c r="B188" s="21" t="n"/>
      <c r="C188" s="21" t="n"/>
      <c r="D188" s="22" t="n"/>
      <c r="E188" s="23" t="n"/>
      <c r="F188" s="24" t="n">
        <v>0.52</v>
      </c>
      <c r="G188" s="25">
        <f>IF(E188="","",E188*F188/15)</f>
        <v/>
      </c>
      <c r="H188" s="26" t="n"/>
      <c r="I188" s="26">
        <f>IF(G188="","",G188*H188)</f>
        <v/>
      </c>
      <c r="J188" s="26" t="n"/>
      <c r="K188" s="26">
        <f>IF(I188="","",I188-N(J188))</f>
        <v/>
      </c>
      <c r="L188" s="21" t="n"/>
    </row>
    <row r="189">
      <c r="A189" s="13" t="n"/>
      <c r="B189" s="14" t="n"/>
      <c r="C189" s="14" t="n"/>
      <c r="D189" s="15" t="n"/>
      <c r="E189" s="16" t="n"/>
      <c r="F189" s="17" t="n">
        <v>0.52</v>
      </c>
      <c r="G189" s="18">
        <f>IF(E189="","",E189*F189/15)</f>
        <v/>
      </c>
      <c r="H189" s="19" t="n"/>
      <c r="I189" s="19">
        <f>IF(G189="","",G189*H189)</f>
        <v/>
      </c>
      <c r="J189" s="19" t="n"/>
      <c r="K189" s="19">
        <f>IF(I189="","",I189-N(J189))</f>
        <v/>
      </c>
      <c r="L189" s="14" t="n"/>
    </row>
    <row r="190">
      <c r="A190" s="20" t="n"/>
      <c r="B190" s="21" t="n"/>
      <c r="C190" s="21" t="n"/>
      <c r="D190" s="22" t="n"/>
      <c r="E190" s="23" t="n"/>
      <c r="F190" s="24" t="n">
        <v>0.52</v>
      </c>
      <c r="G190" s="25">
        <f>IF(E190="","",E190*F190/15)</f>
        <v/>
      </c>
      <c r="H190" s="26" t="n"/>
      <c r="I190" s="26">
        <f>IF(G190="","",G190*H190)</f>
        <v/>
      </c>
      <c r="J190" s="26" t="n"/>
      <c r="K190" s="26">
        <f>IF(I190="","",I190-N(J190))</f>
        <v/>
      </c>
      <c r="L190" s="21" t="n"/>
    </row>
    <row r="191">
      <c r="A191" s="13" t="n"/>
      <c r="B191" s="14" t="n"/>
      <c r="C191" s="14" t="n"/>
      <c r="D191" s="15" t="n"/>
      <c r="E191" s="16" t="n"/>
      <c r="F191" s="17" t="n">
        <v>0.52</v>
      </c>
      <c r="G191" s="18">
        <f>IF(E191="","",E191*F191/15)</f>
        <v/>
      </c>
      <c r="H191" s="19" t="n"/>
      <c r="I191" s="19">
        <f>IF(G191="","",G191*H191)</f>
        <v/>
      </c>
      <c r="J191" s="19" t="n"/>
      <c r="K191" s="19">
        <f>IF(I191="","",I191-N(J191))</f>
        <v/>
      </c>
      <c r="L191" s="14" t="n"/>
    </row>
    <row r="192">
      <c r="A192" s="20" t="n"/>
      <c r="B192" s="21" t="n"/>
      <c r="C192" s="21" t="n"/>
      <c r="D192" s="22" t="n"/>
      <c r="E192" s="23" t="n"/>
      <c r="F192" s="24" t="n">
        <v>0.52</v>
      </c>
      <c r="G192" s="25">
        <f>IF(E192="","",E192*F192/15)</f>
        <v/>
      </c>
      <c r="H192" s="26" t="n"/>
      <c r="I192" s="26">
        <f>IF(G192="","",G192*H192)</f>
        <v/>
      </c>
      <c r="J192" s="26" t="n"/>
      <c r="K192" s="26">
        <f>IF(I192="","",I192-N(J192))</f>
        <v/>
      </c>
      <c r="L192" s="21" t="n"/>
    </row>
    <row r="193">
      <c r="A193" s="13" t="n"/>
      <c r="B193" s="14" t="n"/>
      <c r="C193" s="14" t="n"/>
      <c r="D193" s="15" t="n"/>
      <c r="E193" s="16" t="n"/>
      <c r="F193" s="17" t="n">
        <v>0.52</v>
      </c>
      <c r="G193" s="18">
        <f>IF(E193="","",E193*F193/15)</f>
        <v/>
      </c>
      <c r="H193" s="19" t="n"/>
      <c r="I193" s="19">
        <f>IF(G193="","",G193*H193)</f>
        <v/>
      </c>
      <c r="J193" s="19" t="n"/>
      <c r="K193" s="19">
        <f>IF(I193="","",I193-N(J193))</f>
        <v/>
      </c>
      <c r="L193" s="14" t="n"/>
    </row>
    <row r="194">
      <c r="A194" s="20" t="n"/>
      <c r="B194" s="21" t="n"/>
      <c r="C194" s="21" t="n"/>
      <c r="D194" s="22" t="n"/>
      <c r="E194" s="23" t="n"/>
      <c r="F194" s="24" t="n">
        <v>0.52</v>
      </c>
      <c r="G194" s="25">
        <f>IF(E194="","",E194*F194/15)</f>
        <v/>
      </c>
      <c r="H194" s="26" t="n"/>
      <c r="I194" s="26">
        <f>IF(G194="","",G194*H194)</f>
        <v/>
      </c>
      <c r="J194" s="26" t="n"/>
      <c r="K194" s="26">
        <f>IF(I194="","",I194-N(J194))</f>
        <v/>
      </c>
      <c r="L194" s="21" t="n"/>
    </row>
    <row r="195">
      <c r="A195" s="13" t="n"/>
      <c r="B195" s="14" t="n"/>
      <c r="C195" s="14" t="n"/>
      <c r="D195" s="15" t="n"/>
      <c r="E195" s="16" t="n"/>
      <c r="F195" s="17" t="n">
        <v>0.52</v>
      </c>
      <c r="G195" s="18">
        <f>IF(E195="","",E195*F195/15)</f>
        <v/>
      </c>
      <c r="H195" s="19" t="n"/>
      <c r="I195" s="19">
        <f>IF(G195="","",G195*H195)</f>
        <v/>
      </c>
      <c r="J195" s="19" t="n"/>
      <c r="K195" s="19">
        <f>IF(I195="","",I195-N(J195))</f>
        <v/>
      </c>
      <c r="L195" s="14" t="n"/>
    </row>
    <row r="196">
      <c r="A196" s="20" t="n"/>
      <c r="B196" s="21" t="n"/>
      <c r="C196" s="21" t="n"/>
      <c r="D196" s="22" t="n"/>
      <c r="E196" s="23" t="n"/>
      <c r="F196" s="24" t="n">
        <v>0.52</v>
      </c>
      <c r="G196" s="25">
        <f>IF(E196="","",E196*F196/15)</f>
        <v/>
      </c>
      <c r="H196" s="26" t="n"/>
      <c r="I196" s="26">
        <f>IF(G196="","",G196*H196)</f>
        <v/>
      </c>
      <c r="J196" s="26" t="n"/>
      <c r="K196" s="26">
        <f>IF(I196="","",I196-N(J196))</f>
        <v/>
      </c>
      <c r="L196" s="21" t="n"/>
    </row>
    <row r="197">
      <c r="A197" s="13" t="n"/>
      <c r="B197" s="14" t="n"/>
      <c r="C197" s="14" t="n"/>
      <c r="D197" s="15" t="n"/>
      <c r="E197" s="16" t="n"/>
      <c r="F197" s="17" t="n">
        <v>0.52</v>
      </c>
      <c r="G197" s="18">
        <f>IF(E197="","",E197*F197/15)</f>
        <v/>
      </c>
      <c r="H197" s="19" t="n"/>
      <c r="I197" s="19">
        <f>IF(G197="","",G197*H197)</f>
        <v/>
      </c>
      <c r="J197" s="19" t="n"/>
      <c r="K197" s="19">
        <f>IF(I197="","",I197-N(J197))</f>
        <v/>
      </c>
      <c r="L197" s="14" t="n"/>
    </row>
    <row r="198">
      <c r="A198" s="20" t="n"/>
      <c r="B198" s="21" t="n"/>
      <c r="C198" s="21" t="n"/>
      <c r="D198" s="22" t="n"/>
      <c r="E198" s="23" t="n"/>
      <c r="F198" s="24" t="n">
        <v>0.52</v>
      </c>
      <c r="G198" s="25">
        <f>IF(E198="","",E198*F198/15)</f>
        <v/>
      </c>
      <c r="H198" s="26" t="n"/>
      <c r="I198" s="26">
        <f>IF(G198="","",G198*H198)</f>
        <v/>
      </c>
      <c r="J198" s="26" t="n"/>
      <c r="K198" s="26">
        <f>IF(I198="","",I198-N(J198))</f>
        <v/>
      </c>
      <c r="L198" s="21" t="n"/>
    </row>
    <row r="199">
      <c r="A199" s="13" t="n"/>
      <c r="B199" s="14" t="n"/>
      <c r="C199" s="14" t="n"/>
      <c r="D199" s="15" t="n"/>
      <c r="E199" s="16" t="n"/>
      <c r="F199" s="17" t="n">
        <v>0.52</v>
      </c>
      <c r="G199" s="18">
        <f>IF(E199="","",E199*F199/15)</f>
        <v/>
      </c>
      <c r="H199" s="19" t="n"/>
      <c r="I199" s="19">
        <f>IF(G199="","",G199*H199)</f>
        <v/>
      </c>
      <c r="J199" s="19" t="n"/>
      <c r="K199" s="19">
        <f>IF(I199="","",I199-N(J199))</f>
        <v/>
      </c>
      <c r="L199" s="14" t="n"/>
    </row>
    <row r="200">
      <c r="A200" s="20" t="n"/>
      <c r="B200" s="21" t="n"/>
      <c r="C200" s="21" t="n"/>
      <c r="D200" s="22" t="n"/>
      <c r="E200" s="23" t="n"/>
      <c r="F200" s="24" t="n">
        <v>0.52</v>
      </c>
      <c r="G200" s="25">
        <f>IF(E200="","",E200*F200/15)</f>
        <v/>
      </c>
      <c r="H200" s="26" t="n"/>
      <c r="I200" s="26">
        <f>IF(G200="","",G200*H200)</f>
        <v/>
      </c>
      <c r="J200" s="26" t="n"/>
      <c r="K200" s="26">
        <f>IF(I200="","",I200-N(J200))</f>
        <v/>
      </c>
      <c r="L200" s="21" t="n"/>
    </row>
    <row r="201">
      <c r="A201" s="13" t="n"/>
      <c r="B201" s="14" t="n"/>
      <c r="C201" s="14" t="n"/>
      <c r="D201" s="15" t="n"/>
      <c r="E201" s="16" t="n"/>
      <c r="F201" s="17" t="n">
        <v>0.52</v>
      </c>
      <c r="G201" s="18">
        <f>IF(E201="","",E201*F201/15)</f>
        <v/>
      </c>
      <c r="H201" s="19" t="n"/>
      <c r="I201" s="19">
        <f>IF(G201="","",G201*H201)</f>
        <v/>
      </c>
      <c r="J201" s="19" t="n"/>
      <c r="K201" s="19">
        <f>IF(I201="","",I201-N(J201))</f>
        <v/>
      </c>
      <c r="L201" s="14" t="n"/>
    </row>
    <row r="202">
      <c r="A202" s="20" t="n"/>
      <c r="B202" s="21" t="n"/>
      <c r="C202" s="21" t="n"/>
      <c r="D202" s="22" t="n"/>
      <c r="E202" s="23" t="n"/>
      <c r="F202" s="24" t="n">
        <v>0.52</v>
      </c>
      <c r="G202" s="25">
        <f>IF(E202="","",E202*F202/15)</f>
        <v/>
      </c>
      <c r="H202" s="26" t="n"/>
      <c r="I202" s="26">
        <f>IF(G202="","",G202*H202)</f>
        <v/>
      </c>
      <c r="J202" s="26" t="n"/>
      <c r="K202" s="26">
        <f>IF(I202="","",I202-N(J202))</f>
        <v/>
      </c>
      <c r="L202" s="21" t="n"/>
    </row>
    <row r="203">
      <c r="A203" s="13" t="n"/>
      <c r="B203" s="14" t="n"/>
      <c r="C203" s="14" t="n"/>
      <c r="D203" s="15" t="n"/>
      <c r="E203" s="16" t="n"/>
      <c r="F203" s="17" t="n">
        <v>0.52</v>
      </c>
      <c r="G203" s="18">
        <f>IF(E203="","",E203*F203/15)</f>
        <v/>
      </c>
      <c r="H203" s="19" t="n"/>
      <c r="I203" s="19">
        <f>IF(G203="","",G203*H203)</f>
        <v/>
      </c>
      <c r="J203" s="19" t="n"/>
      <c r="K203" s="19">
        <f>IF(I203="","",I203-N(J203))</f>
        <v/>
      </c>
      <c r="L203" s="14" t="n"/>
    </row>
    <row r="204">
      <c r="A204" s="20" t="n"/>
      <c r="B204" s="21" t="n"/>
      <c r="C204" s="21" t="n"/>
      <c r="D204" s="22" t="n"/>
      <c r="E204" s="23" t="n"/>
      <c r="F204" s="24" t="n">
        <v>0.52</v>
      </c>
      <c r="G204" s="25">
        <f>IF(E204="","",E204*F204/15)</f>
        <v/>
      </c>
      <c r="H204" s="26" t="n"/>
      <c r="I204" s="26">
        <f>IF(G204="","",G204*H204)</f>
        <v/>
      </c>
      <c r="J204" s="26" t="n"/>
      <c r="K204" s="26">
        <f>IF(I204="","",I204-N(J204))</f>
        <v/>
      </c>
      <c r="L204" s="21" t="n"/>
    </row>
    <row r="205">
      <c r="A205" s="13" t="n"/>
      <c r="B205" s="14" t="n"/>
      <c r="C205" s="14" t="n"/>
      <c r="D205" s="15" t="n"/>
      <c r="E205" s="16" t="n"/>
      <c r="F205" s="17" t="n">
        <v>0.52</v>
      </c>
      <c r="G205" s="18">
        <f>IF(E205="","",E205*F205/15)</f>
        <v/>
      </c>
      <c r="H205" s="19" t="n"/>
      <c r="I205" s="19">
        <f>IF(G205="","",G205*H205)</f>
        <v/>
      </c>
      <c r="J205" s="19" t="n"/>
      <c r="K205" s="19">
        <f>IF(I205="","",I205-N(J205))</f>
        <v/>
      </c>
      <c r="L205" s="14" t="n"/>
    </row>
    <row r="206">
      <c r="A206" s="20" t="n"/>
      <c r="B206" s="21" t="n"/>
      <c r="C206" s="21" t="n"/>
      <c r="D206" s="22" t="n"/>
      <c r="E206" s="23" t="n"/>
      <c r="F206" s="24" t="n">
        <v>0.52</v>
      </c>
      <c r="G206" s="25">
        <f>IF(E206="","",E206*F206/15)</f>
        <v/>
      </c>
      <c r="H206" s="26" t="n"/>
      <c r="I206" s="26">
        <f>IF(G206="","",G206*H206)</f>
        <v/>
      </c>
      <c r="J206" s="26" t="n"/>
      <c r="K206" s="26">
        <f>IF(I206="","",I206-N(J206))</f>
        <v/>
      </c>
      <c r="L206" s="21" t="n"/>
    </row>
    <row r="207">
      <c r="A207" s="13" t="n"/>
      <c r="B207" s="14" t="n"/>
      <c r="C207" s="14" t="n"/>
      <c r="D207" s="15" t="n"/>
      <c r="E207" s="16" t="n"/>
      <c r="F207" s="17" t="n">
        <v>0.52</v>
      </c>
      <c r="G207" s="18">
        <f>IF(E207="","",E207*F207/15)</f>
        <v/>
      </c>
      <c r="H207" s="19" t="n"/>
      <c r="I207" s="19">
        <f>IF(G207="","",G207*H207)</f>
        <v/>
      </c>
      <c r="J207" s="19" t="n"/>
      <c r="K207" s="19">
        <f>IF(I207="","",I207-N(J207))</f>
        <v/>
      </c>
      <c r="L207" s="14" t="n"/>
    </row>
    <row r="208">
      <c r="A208" s="20" t="n"/>
      <c r="B208" s="21" t="n"/>
      <c r="C208" s="21" t="n"/>
      <c r="D208" s="22" t="n"/>
      <c r="E208" s="23" t="n"/>
      <c r="F208" s="24" t="n">
        <v>0.52</v>
      </c>
      <c r="G208" s="25">
        <f>IF(E208="","",E208*F208/15)</f>
        <v/>
      </c>
      <c r="H208" s="26" t="n"/>
      <c r="I208" s="26">
        <f>IF(G208="","",G208*H208)</f>
        <v/>
      </c>
      <c r="J208" s="26" t="n"/>
      <c r="K208" s="26">
        <f>IF(I208="","",I208-N(J208))</f>
        <v/>
      </c>
      <c r="L208" s="21" t="n"/>
    </row>
    <row r="209">
      <c r="A209" s="13" t="n"/>
      <c r="B209" s="14" t="n"/>
      <c r="C209" s="14" t="n"/>
      <c r="D209" s="15" t="n"/>
      <c r="E209" s="16" t="n"/>
      <c r="F209" s="17" t="n">
        <v>0.52</v>
      </c>
      <c r="G209" s="18">
        <f>IF(E209="","",E209*F209/15)</f>
        <v/>
      </c>
      <c r="H209" s="19" t="n"/>
      <c r="I209" s="19">
        <f>IF(G209="","",G209*H209)</f>
        <v/>
      </c>
      <c r="J209" s="19" t="n"/>
      <c r="K209" s="19">
        <f>IF(I209="","",I209-N(J209))</f>
        <v/>
      </c>
      <c r="L209" s="14" t="n"/>
    </row>
    <row r="210">
      <c r="A210" s="20" t="n"/>
      <c r="B210" s="21" t="n"/>
      <c r="C210" s="21" t="n"/>
      <c r="D210" s="22" t="n"/>
      <c r="E210" s="23" t="n"/>
      <c r="F210" s="24" t="n">
        <v>0.52</v>
      </c>
      <c r="G210" s="25">
        <f>IF(E210="","",E210*F210/15)</f>
        <v/>
      </c>
      <c r="H210" s="26" t="n"/>
      <c r="I210" s="26">
        <f>IF(G210="","",G210*H210)</f>
        <v/>
      </c>
      <c r="J210" s="26" t="n"/>
      <c r="K210" s="26">
        <f>IF(I210="","",I210-N(J210))</f>
        <v/>
      </c>
      <c r="L210" s="21" t="n"/>
    </row>
    <row r="211">
      <c r="A211" s="13" t="n"/>
      <c r="B211" s="14" t="n"/>
      <c r="C211" s="14" t="n"/>
      <c r="D211" s="15" t="n"/>
      <c r="E211" s="16" t="n"/>
      <c r="F211" s="17" t="n">
        <v>0.52</v>
      </c>
      <c r="G211" s="18">
        <f>IF(E211="","",E211*F211/15)</f>
        <v/>
      </c>
      <c r="H211" s="19" t="n"/>
      <c r="I211" s="19">
        <f>IF(G211="","",G211*H211)</f>
        <v/>
      </c>
      <c r="J211" s="19" t="n"/>
      <c r="K211" s="19">
        <f>IF(I211="","",I211-N(J211))</f>
        <v/>
      </c>
      <c r="L211" s="14" t="n"/>
    </row>
    <row r="212">
      <c r="A212" s="20" t="n"/>
      <c r="B212" s="21" t="n"/>
      <c r="C212" s="21" t="n"/>
      <c r="D212" s="22" t="n"/>
      <c r="E212" s="23" t="n"/>
      <c r="F212" s="24" t="n">
        <v>0.52</v>
      </c>
      <c r="G212" s="25">
        <f>IF(E212="","",E212*F212/15)</f>
        <v/>
      </c>
      <c r="H212" s="26" t="n"/>
      <c r="I212" s="26">
        <f>IF(G212="","",G212*H212)</f>
        <v/>
      </c>
      <c r="J212" s="26" t="n"/>
      <c r="K212" s="26">
        <f>IF(I212="","",I212-N(J212))</f>
        <v/>
      </c>
      <c r="L212" s="21" t="n"/>
    </row>
    <row r="213">
      <c r="A213" s="13" t="n"/>
      <c r="B213" s="14" t="n"/>
      <c r="C213" s="14" t="n"/>
      <c r="D213" s="15" t="n"/>
      <c r="E213" s="16" t="n"/>
      <c r="F213" s="17" t="n">
        <v>0.52</v>
      </c>
      <c r="G213" s="18">
        <f>IF(E213="","",E213*F213/15)</f>
        <v/>
      </c>
      <c r="H213" s="19" t="n"/>
      <c r="I213" s="19">
        <f>IF(G213="","",G213*H213)</f>
        <v/>
      </c>
      <c r="J213" s="19" t="n"/>
      <c r="K213" s="19">
        <f>IF(I213="","",I213-N(J213))</f>
        <v/>
      </c>
      <c r="L213" s="14" t="n"/>
    </row>
    <row r="214">
      <c r="A214" s="20" t="n"/>
      <c r="B214" s="21" t="n"/>
      <c r="C214" s="21" t="n"/>
      <c r="D214" s="22" t="n"/>
      <c r="E214" s="23" t="n"/>
      <c r="F214" s="24" t="n">
        <v>0.52</v>
      </c>
      <c r="G214" s="25">
        <f>IF(E214="","",E214*F214/15)</f>
        <v/>
      </c>
      <c r="H214" s="26" t="n"/>
      <c r="I214" s="26">
        <f>IF(G214="","",G214*H214)</f>
        <v/>
      </c>
      <c r="J214" s="26" t="n"/>
      <c r="K214" s="26">
        <f>IF(I214="","",I214-N(J214))</f>
        <v/>
      </c>
      <c r="L214" s="21" t="n"/>
    </row>
    <row r="215">
      <c r="A215" s="13" t="n"/>
      <c r="B215" s="14" t="n"/>
      <c r="C215" s="14" t="n"/>
      <c r="D215" s="15" t="n"/>
      <c r="E215" s="16" t="n"/>
      <c r="F215" s="17" t="n">
        <v>0.52</v>
      </c>
      <c r="G215" s="18">
        <f>IF(E215="","",E215*F215/15)</f>
        <v/>
      </c>
      <c r="H215" s="19" t="n"/>
      <c r="I215" s="19">
        <f>IF(G215="","",G215*H215)</f>
        <v/>
      </c>
      <c r="J215" s="19" t="n"/>
      <c r="K215" s="19">
        <f>IF(I215="","",I215-N(J215))</f>
        <v/>
      </c>
      <c r="L215" s="14" t="n"/>
    </row>
    <row r="216">
      <c r="A216" s="20" t="n"/>
      <c r="B216" s="21" t="n"/>
      <c r="C216" s="21" t="n"/>
      <c r="D216" s="22" t="n"/>
      <c r="E216" s="23" t="n"/>
      <c r="F216" s="24" t="n">
        <v>0.52</v>
      </c>
      <c r="G216" s="25">
        <f>IF(E216="","",E216*F216/15)</f>
        <v/>
      </c>
      <c r="H216" s="26" t="n"/>
      <c r="I216" s="26">
        <f>IF(G216="","",G216*H216)</f>
        <v/>
      </c>
      <c r="J216" s="26" t="n"/>
      <c r="K216" s="26">
        <f>IF(I216="","",I216-N(J216))</f>
        <v/>
      </c>
      <c r="L216" s="21" t="n"/>
    </row>
    <row r="217">
      <c r="A217" s="13" t="n"/>
      <c r="B217" s="14" t="n"/>
      <c r="C217" s="14" t="n"/>
      <c r="D217" s="15" t="n"/>
      <c r="E217" s="16" t="n"/>
      <c r="F217" s="17" t="n">
        <v>0.52</v>
      </c>
      <c r="G217" s="18">
        <f>IF(E217="","",E217*F217/15)</f>
        <v/>
      </c>
      <c r="H217" s="19" t="n"/>
      <c r="I217" s="19">
        <f>IF(G217="","",G217*H217)</f>
        <v/>
      </c>
      <c r="J217" s="19" t="n"/>
      <c r="K217" s="19">
        <f>IF(I217="","",I217-N(J217))</f>
        <v/>
      </c>
      <c r="L217" s="14" t="n"/>
    </row>
    <row r="218">
      <c r="A218" s="20" t="n"/>
      <c r="B218" s="21" t="n"/>
      <c r="C218" s="21" t="n"/>
      <c r="D218" s="22" t="n"/>
      <c r="E218" s="23" t="n"/>
      <c r="F218" s="24" t="n">
        <v>0.52</v>
      </c>
      <c r="G218" s="25">
        <f>IF(E218="","",E218*F218/15)</f>
        <v/>
      </c>
      <c r="H218" s="26" t="n"/>
      <c r="I218" s="26">
        <f>IF(G218="","",G218*H218)</f>
        <v/>
      </c>
      <c r="J218" s="26" t="n"/>
      <c r="K218" s="26">
        <f>IF(I218="","",I218-N(J218))</f>
        <v/>
      </c>
      <c r="L218" s="21" t="n"/>
    </row>
    <row r="219">
      <c r="A219" s="13" t="n"/>
      <c r="B219" s="14" t="n"/>
      <c r="C219" s="14" t="n"/>
      <c r="D219" s="15" t="n"/>
      <c r="E219" s="16" t="n"/>
      <c r="F219" s="17" t="n">
        <v>0.52</v>
      </c>
      <c r="G219" s="18">
        <f>IF(E219="","",E219*F219/15)</f>
        <v/>
      </c>
      <c r="H219" s="19" t="n"/>
      <c r="I219" s="19">
        <f>IF(G219="","",G219*H219)</f>
        <v/>
      </c>
      <c r="J219" s="19" t="n"/>
      <c r="K219" s="19">
        <f>IF(I219="","",I219-N(J219))</f>
        <v/>
      </c>
      <c r="L219" s="14" t="n"/>
    </row>
    <row r="220">
      <c r="A220" s="20" t="n"/>
      <c r="B220" s="21" t="n"/>
      <c r="C220" s="21" t="n"/>
      <c r="D220" s="22" t="n"/>
      <c r="E220" s="23" t="n"/>
      <c r="F220" s="24" t="n">
        <v>0.52</v>
      </c>
      <c r="G220" s="25">
        <f>IF(E220="","",E220*F220/15)</f>
        <v/>
      </c>
      <c r="H220" s="26" t="n"/>
      <c r="I220" s="26">
        <f>IF(G220="","",G220*H220)</f>
        <v/>
      </c>
      <c r="J220" s="26" t="n"/>
      <c r="K220" s="26">
        <f>IF(I220="","",I220-N(J220))</f>
        <v/>
      </c>
      <c r="L220" s="21" t="n"/>
    </row>
    <row r="221">
      <c r="A221" s="13" t="n"/>
      <c r="B221" s="14" t="n"/>
      <c r="C221" s="14" t="n"/>
      <c r="D221" s="15" t="n"/>
      <c r="E221" s="16" t="n"/>
      <c r="F221" s="17" t="n">
        <v>0.52</v>
      </c>
      <c r="G221" s="18">
        <f>IF(E221="","",E221*F221/15)</f>
        <v/>
      </c>
      <c r="H221" s="19" t="n"/>
      <c r="I221" s="19">
        <f>IF(G221="","",G221*H221)</f>
        <v/>
      </c>
      <c r="J221" s="19" t="n"/>
      <c r="K221" s="19">
        <f>IF(I221="","",I221-N(J221))</f>
        <v/>
      </c>
      <c r="L221" s="14" t="n"/>
    </row>
    <row r="222">
      <c r="A222" s="20" t="n"/>
      <c r="B222" s="21" t="n"/>
      <c r="C222" s="21" t="n"/>
      <c r="D222" s="22" t="n"/>
      <c r="E222" s="23" t="n"/>
      <c r="F222" s="24" t="n">
        <v>0.52</v>
      </c>
      <c r="G222" s="25">
        <f>IF(E222="","",E222*F222/15)</f>
        <v/>
      </c>
      <c r="H222" s="26" t="n"/>
      <c r="I222" s="26">
        <f>IF(G222="","",G222*H222)</f>
        <v/>
      </c>
      <c r="J222" s="26" t="n"/>
      <c r="K222" s="26">
        <f>IF(I222="","",I222-N(J222))</f>
        <v/>
      </c>
      <c r="L222" s="21" t="n"/>
    </row>
    <row r="223">
      <c r="A223" s="13" t="n"/>
      <c r="B223" s="14" t="n"/>
      <c r="C223" s="14" t="n"/>
      <c r="D223" s="15" t="n"/>
      <c r="E223" s="16" t="n"/>
      <c r="F223" s="17" t="n">
        <v>0.52</v>
      </c>
      <c r="G223" s="18">
        <f>IF(E223="","",E223*F223/15)</f>
        <v/>
      </c>
      <c r="H223" s="19" t="n"/>
      <c r="I223" s="19">
        <f>IF(G223="","",G223*H223)</f>
        <v/>
      </c>
      <c r="J223" s="19" t="n"/>
      <c r="K223" s="19">
        <f>IF(I223="","",I223-N(J223))</f>
        <v/>
      </c>
      <c r="L223" s="14" t="n"/>
    </row>
    <row r="224">
      <c r="A224" s="20" t="n"/>
      <c r="B224" s="21" t="n"/>
      <c r="C224" s="21" t="n"/>
      <c r="D224" s="22" t="n"/>
      <c r="E224" s="23" t="n"/>
      <c r="F224" s="24" t="n">
        <v>0.52</v>
      </c>
      <c r="G224" s="25">
        <f>IF(E224="","",E224*F224/15)</f>
        <v/>
      </c>
      <c r="H224" s="26" t="n"/>
      <c r="I224" s="26">
        <f>IF(G224="","",G224*H224)</f>
        <v/>
      </c>
      <c r="J224" s="26" t="n"/>
      <c r="K224" s="26">
        <f>IF(I224="","",I224-N(J224))</f>
        <v/>
      </c>
      <c r="L224" s="21" t="n"/>
    </row>
    <row r="225">
      <c r="A225" s="13" t="n"/>
      <c r="B225" s="14" t="n"/>
      <c r="C225" s="14" t="n"/>
      <c r="D225" s="15" t="n"/>
      <c r="E225" s="16" t="n"/>
      <c r="F225" s="17" t="n">
        <v>0.52</v>
      </c>
      <c r="G225" s="18">
        <f>IF(E225="","",E225*F225/15)</f>
        <v/>
      </c>
      <c r="H225" s="19" t="n"/>
      <c r="I225" s="19">
        <f>IF(G225="","",G225*H225)</f>
        <v/>
      </c>
      <c r="J225" s="19" t="n"/>
      <c r="K225" s="19">
        <f>IF(I225="","",I225-N(J225))</f>
        <v/>
      </c>
      <c r="L225" s="14" t="n"/>
    </row>
    <row r="226">
      <c r="A226" s="20" t="n"/>
      <c r="B226" s="21" t="n"/>
      <c r="C226" s="21" t="n"/>
      <c r="D226" s="22" t="n"/>
      <c r="E226" s="23" t="n"/>
      <c r="F226" s="24" t="n">
        <v>0.52</v>
      </c>
      <c r="G226" s="25">
        <f>IF(E226="","",E226*F226/15)</f>
        <v/>
      </c>
      <c r="H226" s="26" t="n"/>
      <c r="I226" s="26">
        <f>IF(G226="","",G226*H226)</f>
        <v/>
      </c>
      <c r="J226" s="26" t="n"/>
      <c r="K226" s="26">
        <f>IF(I226="","",I226-N(J226))</f>
        <v/>
      </c>
      <c r="L226" s="21" t="n"/>
    </row>
    <row r="227">
      <c r="A227" s="13" t="n"/>
      <c r="B227" s="14" t="n"/>
      <c r="C227" s="14" t="n"/>
      <c r="D227" s="15" t="n"/>
      <c r="E227" s="16" t="n"/>
      <c r="F227" s="17" t="n">
        <v>0.52</v>
      </c>
      <c r="G227" s="18">
        <f>IF(E227="","",E227*F227/15)</f>
        <v/>
      </c>
      <c r="H227" s="19" t="n"/>
      <c r="I227" s="19">
        <f>IF(G227="","",G227*H227)</f>
        <v/>
      </c>
      <c r="J227" s="19" t="n"/>
      <c r="K227" s="19">
        <f>IF(I227="","",I227-N(J227))</f>
        <v/>
      </c>
      <c r="L227" s="14" t="n"/>
    </row>
    <row r="228">
      <c r="A228" s="20" t="n"/>
      <c r="B228" s="21" t="n"/>
      <c r="C228" s="21" t="n"/>
      <c r="D228" s="22" t="n"/>
      <c r="E228" s="23" t="n"/>
      <c r="F228" s="24" t="n">
        <v>0.52</v>
      </c>
      <c r="G228" s="25">
        <f>IF(E228="","",E228*F228/15)</f>
        <v/>
      </c>
      <c r="H228" s="26" t="n"/>
      <c r="I228" s="26">
        <f>IF(G228="","",G228*H228)</f>
        <v/>
      </c>
      <c r="J228" s="26" t="n"/>
      <c r="K228" s="26">
        <f>IF(I228="","",I228-N(J228))</f>
        <v/>
      </c>
      <c r="L228" s="21" t="n"/>
    </row>
    <row r="229">
      <c r="A229" s="13" t="n"/>
      <c r="B229" s="14" t="n"/>
      <c r="C229" s="14" t="n"/>
      <c r="D229" s="15" t="n"/>
      <c r="E229" s="16" t="n"/>
      <c r="F229" s="17" t="n">
        <v>0.52</v>
      </c>
      <c r="G229" s="18">
        <f>IF(E229="","",E229*F229/15)</f>
        <v/>
      </c>
      <c r="H229" s="19" t="n"/>
      <c r="I229" s="19">
        <f>IF(G229="","",G229*H229)</f>
        <v/>
      </c>
      <c r="J229" s="19" t="n"/>
      <c r="K229" s="19">
        <f>IF(I229="","",I229-N(J229))</f>
        <v/>
      </c>
      <c r="L229" s="14" t="n"/>
    </row>
    <row r="230">
      <c r="A230" s="20" t="n"/>
      <c r="B230" s="21" t="n"/>
      <c r="C230" s="21" t="n"/>
      <c r="D230" s="22" t="n"/>
      <c r="E230" s="23" t="n"/>
      <c r="F230" s="24" t="n">
        <v>0.52</v>
      </c>
      <c r="G230" s="25">
        <f>IF(E230="","",E230*F230/15)</f>
        <v/>
      </c>
      <c r="H230" s="26" t="n"/>
      <c r="I230" s="26">
        <f>IF(G230="","",G230*H230)</f>
        <v/>
      </c>
      <c r="J230" s="26" t="n"/>
      <c r="K230" s="26">
        <f>IF(I230="","",I230-N(J230))</f>
        <v/>
      </c>
      <c r="L230" s="21" t="n"/>
    </row>
    <row r="231">
      <c r="A231" s="13" t="n"/>
      <c r="B231" s="14" t="n"/>
      <c r="C231" s="14" t="n"/>
      <c r="D231" s="15" t="n"/>
      <c r="E231" s="16" t="n"/>
      <c r="F231" s="17" t="n">
        <v>0.52</v>
      </c>
      <c r="G231" s="18">
        <f>IF(E231="","",E231*F231/15)</f>
        <v/>
      </c>
      <c r="H231" s="19" t="n"/>
      <c r="I231" s="19">
        <f>IF(G231="","",G231*H231)</f>
        <v/>
      </c>
      <c r="J231" s="19" t="n"/>
      <c r="K231" s="19">
        <f>IF(I231="","",I231-N(J231))</f>
        <v/>
      </c>
      <c r="L231" s="14" t="n"/>
    </row>
    <row r="232">
      <c r="A232" s="20" t="n"/>
      <c r="B232" s="21" t="n"/>
      <c r="C232" s="21" t="n"/>
      <c r="D232" s="22" t="n"/>
      <c r="E232" s="23" t="n"/>
      <c r="F232" s="24" t="n">
        <v>0.52</v>
      </c>
      <c r="G232" s="25">
        <f>IF(E232="","",E232*F232/15)</f>
        <v/>
      </c>
      <c r="H232" s="26" t="n"/>
      <c r="I232" s="26">
        <f>IF(G232="","",G232*H232)</f>
        <v/>
      </c>
      <c r="J232" s="26" t="n"/>
      <c r="K232" s="26">
        <f>IF(I232="","",I232-N(J232))</f>
        <v/>
      </c>
      <c r="L232" s="21" t="n"/>
    </row>
    <row r="233">
      <c r="A233" s="13" t="n"/>
      <c r="B233" s="14" t="n"/>
      <c r="C233" s="14" t="n"/>
      <c r="D233" s="15" t="n"/>
      <c r="E233" s="16" t="n"/>
      <c r="F233" s="17" t="n">
        <v>0.52</v>
      </c>
      <c r="G233" s="18">
        <f>IF(E233="","",E233*F233/15)</f>
        <v/>
      </c>
      <c r="H233" s="19" t="n"/>
      <c r="I233" s="19">
        <f>IF(G233="","",G233*H233)</f>
        <v/>
      </c>
      <c r="J233" s="19" t="n"/>
      <c r="K233" s="19">
        <f>IF(I233="","",I233-N(J233))</f>
        <v/>
      </c>
      <c r="L233" s="14" t="n"/>
    </row>
    <row r="234">
      <c r="A234" s="20" t="n"/>
      <c r="B234" s="21" t="n"/>
      <c r="C234" s="21" t="n"/>
      <c r="D234" s="22" t="n"/>
      <c r="E234" s="23" t="n"/>
      <c r="F234" s="24" t="n">
        <v>0.52</v>
      </c>
      <c r="G234" s="25">
        <f>IF(E234="","",E234*F234/15)</f>
        <v/>
      </c>
      <c r="H234" s="26" t="n"/>
      <c r="I234" s="26">
        <f>IF(G234="","",G234*H234)</f>
        <v/>
      </c>
      <c r="J234" s="26" t="n"/>
      <c r="K234" s="26">
        <f>IF(I234="","",I234-N(J234))</f>
        <v/>
      </c>
      <c r="L234" s="21" t="n"/>
    </row>
    <row r="235">
      <c r="A235" s="13" t="n"/>
      <c r="B235" s="14" t="n"/>
      <c r="C235" s="14" t="n"/>
      <c r="D235" s="15" t="n"/>
      <c r="E235" s="16" t="n"/>
      <c r="F235" s="17" t="n">
        <v>0.52</v>
      </c>
      <c r="G235" s="18">
        <f>IF(E235="","",E235*F235/15)</f>
        <v/>
      </c>
      <c r="H235" s="19" t="n"/>
      <c r="I235" s="19">
        <f>IF(G235="","",G235*H235)</f>
        <v/>
      </c>
      <c r="J235" s="19" t="n"/>
      <c r="K235" s="19">
        <f>IF(I235="","",I235-N(J235))</f>
        <v/>
      </c>
      <c r="L235" s="14" t="n"/>
    </row>
    <row r="236">
      <c r="A236" s="20" t="n"/>
      <c r="B236" s="21" t="n"/>
      <c r="C236" s="21" t="n"/>
      <c r="D236" s="22" t="n"/>
      <c r="E236" s="23" t="n"/>
      <c r="F236" s="24" t="n">
        <v>0.52</v>
      </c>
      <c r="G236" s="25">
        <f>IF(E236="","",E236*F236/15)</f>
        <v/>
      </c>
      <c r="H236" s="26" t="n"/>
      <c r="I236" s="26">
        <f>IF(G236="","",G236*H236)</f>
        <v/>
      </c>
      <c r="J236" s="26" t="n"/>
      <c r="K236" s="26">
        <f>IF(I236="","",I236-N(J236))</f>
        <v/>
      </c>
      <c r="L236" s="21" t="n"/>
    </row>
    <row r="237">
      <c r="A237" s="13" t="n"/>
      <c r="B237" s="14" t="n"/>
      <c r="C237" s="14" t="n"/>
      <c r="D237" s="15" t="n"/>
      <c r="E237" s="16" t="n"/>
      <c r="F237" s="17" t="n">
        <v>0.52</v>
      </c>
      <c r="G237" s="18">
        <f>IF(E237="","",E237*F237/15)</f>
        <v/>
      </c>
      <c r="H237" s="19" t="n"/>
      <c r="I237" s="19">
        <f>IF(G237="","",G237*H237)</f>
        <v/>
      </c>
      <c r="J237" s="19" t="n"/>
      <c r="K237" s="19">
        <f>IF(I237="","",I237-N(J237))</f>
        <v/>
      </c>
      <c r="L237" s="14" t="n"/>
    </row>
    <row r="238">
      <c r="A238" s="20" t="n"/>
      <c r="B238" s="21" t="n"/>
      <c r="C238" s="21" t="n"/>
      <c r="D238" s="22" t="n"/>
      <c r="E238" s="23" t="n"/>
      <c r="F238" s="24" t="n">
        <v>0.52</v>
      </c>
      <c r="G238" s="25">
        <f>IF(E238="","",E238*F238/15)</f>
        <v/>
      </c>
      <c r="H238" s="26" t="n"/>
      <c r="I238" s="26">
        <f>IF(G238="","",G238*H238)</f>
        <v/>
      </c>
      <c r="J238" s="26" t="n"/>
      <c r="K238" s="26">
        <f>IF(I238="","",I238-N(J238))</f>
        <v/>
      </c>
      <c r="L238" s="21" t="n"/>
    </row>
    <row r="239">
      <c r="A239" s="13" t="n"/>
      <c r="B239" s="14" t="n"/>
      <c r="C239" s="14" t="n"/>
      <c r="D239" s="15" t="n"/>
      <c r="E239" s="16" t="n"/>
      <c r="F239" s="17" t="n">
        <v>0.52</v>
      </c>
      <c r="G239" s="18">
        <f>IF(E239="","",E239*F239/15)</f>
        <v/>
      </c>
      <c r="H239" s="19" t="n"/>
      <c r="I239" s="19">
        <f>IF(G239="","",G239*H239)</f>
        <v/>
      </c>
      <c r="J239" s="19" t="n"/>
      <c r="K239" s="19">
        <f>IF(I239="","",I239-N(J239))</f>
        <v/>
      </c>
      <c r="L239" s="14" t="n"/>
    </row>
    <row r="240">
      <c r="A240" s="20" t="n"/>
      <c r="B240" s="21" t="n"/>
      <c r="C240" s="21" t="n"/>
      <c r="D240" s="22" t="n"/>
      <c r="E240" s="23" t="n"/>
      <c r="F240" s="24" t="n">
        <v>0.52</v>
      </c>
      <c r="G240" s="25">
        <f>IF(E240="","",E240*F240/15)</f>
        <v/>
      </c>
      <c r="H240" s="26" t="n"/>
      <c r="I240" s="26">
        <f>IF(G240="","",G240*H240)</f>
        <v/>
      </c>
      <c r="J240" s="26" t="n"/>
      <c r="K240" s="26">
        <f>IF(I240="","",I240-N(J240))</f>
        <v/>
      </c>
      <c r="L240" s="21" t="n"/>
    </row>
    <row r="241">
      <c r="A241" s="13" t="n"/>
      <c r="B241" s="14" t="n"/>
      <c r="C241" s="14" t="n"/>
      <c r="D241" s="15" t="n"/>
      <c r="E241" s="16" t="n"/>
      <c r="F241" s="17" t="n">
        <v>0.52</v>
      </c>
      <c r="G241" s="18">
        <f>IF(E241="","",E241*F241/15)</f>
        <v/>
      </c>
      <c r="H241" s="19" t="n"/>
      <c r="I241" s="19">
        <f>IF(G241="","",G241*H241)</f>
        <v/>
      </c>
      <c r="J241" s="19" t="n"/>
      <c r="K241" s="19">
        <f>IF(I241="","",I241-N(J241))</f>
        <v/>
      </c>
      <c r="L241" s="14" t="n"/>
    </row>
    <row r="242">
      <c r="A242" s="20" t="n"/>
      <c r="B242" s="21" t="n"/>
      <c r="C242" s="21" t="n"/>
      <c r="D242" s="22" t="n"/>
      <c r="E242" s="23" t="n"/>
      <c r="F242" s="24" t="n">
        <v>0.52</v>
      </c>
      <c r="G242" s="25">
        <f>IF(E242="","",E242*F242/15)</f>
        <v/>
      </c>
      <c r="H242" s="26" t="n"/>
      <c r="I242" s="26">
        <f>IF(G242="","",G242*H242)</f>
        <v/>
      </c>
      <c r="J242" s="26" t="n"/>
      <c r="K242" s="26">
        <f>IF(I242="","",I242-N(J242))</f>
        <v/>
      </c>
      <c r="L242" s="21" t="n"/>
    </row>
    <row r="243">
      <c r="A243" s="13" t="n"/>
      <c r="B243" s="14" t="n"/>
      <c r="C243" s="14" t="n"/>
      <c r="D243" s="15" t="n"/>
      <c r="E243" s="16" t="n"/>
      <c r="F243" s="17" t="n">
        <v>0.52</v>
      </c>
      <c r="G243" s="18">
        <f>IF(E243="","",E243*F243/15)</f>
        <v/>
      </c>
      <c r="H243" s="19" t="n"/>
      <c r="I243" s="19">
        <f>IF(G243="","",G243*H243)</f>
        <v/>
      </c>
      <c r="J243" s="19" t="n"/>
      <c r="K243" s="19">
        <f>IF(I243="","",I243-N(J243))</f>
        <v/>
      </c>
      <c r="L243" s="14" t="n"/>
    </row>
    <row r="244">
      <c r="A244" s="20" t="n"/>
      <c r="B244" s="21" t="n"/>
      <c r="C244" s="21" t="n"/>
      <c r="D244" s="22" t="n"/>
      <c r="E244" s="23" t="n"/>
      <c r="F244" s="24" t="n">
        <v>0.52</v>
      </c>
      <c r="G244" s="25">
        <f>IF(E244="","",E244*F244/15)</f>
        <v/>
      </c>
      <c r="H244" s="26" t="n"/>
      <c r="I244" s="26">
        <f>IF(G244="","",G244*H244)</f>
        <v/>
      </c>
      <c r="J244" s="26" t="n"/>
      <c r="K244" s="26">
        <f>IF(I244="","",I244-N(J244))</f>
        <v/>
      </c>
      <c r="L244" s="21" t="n"/>
    </row>
    <row r="245">
      <c r="A245" s="13" t="n"/>
      <c r="B245" s="14" t="n"/>
      <c r="C245" s="14" t="n"/>
      <c r="D245" s="15" t="n"/>
      <c r="E245" s="16" t="n"/>
      <c r="F245" s="17" t="n">
        <v>0.52</v>
      </c>
      <c r="G245" s="18">
        <f>IF(E245="","",E245*F245/15)</f>
        <v/>
      </c>
      <c r="H245" s="19" t="n"/>
      <c r="I245" s="19">
        <f>IF(G245="","",G245*H245)</f>
        <v/>
      </c>
      <c r="J245" s="19" t="n"/>
      <c r="K245" s="19">
        <f>IF(I245="","",I245-N(J245))</f>
        <v/>
      </c>
      <c r="L245" s="14" t="n"/>
    </row>
    <row r="246">
      <c r="A246" s="20" t="n"/>
      <c r="B246" s="21" t="n"/>
      <c r="C246" s="21" t="n"/>
      <c r="D246" s="22" t="n"/>
      <c r="E246" s="23" t="n"/>
      <c r="F246" s="24" t="n">
        <v>0.52</v>
      </c>
      <c r="G246" s="25">
        <f>IF(E246="","",E246*F246/15)</f>
        <v/>
      </c>
      <c r="H246" s="26" t="n"/>
      <c r="I246" s="26">
        <f>IF(G246="","",G246*H246)</f>
        <v/>
      </c>
      <c r="J246" s="26" t="n"/>
      <c r="K246" s="26">
        <f>IF(I246="","",I246-N(J246))</f>
        <v/>
      </c>
      <c r="L246" s="21" t="n"/>
    </row>
    <row r="247">
      <c r="A247" s="13" t="n"/>
      <c r="B247" s="14" t="n"/>
      <c r="C247" s="14" t="n"/>
      <c r="D247" s="15" t="n"/>
      <c r="E247" s="16" t="n"/>
      <c r="F247" s="17" t="n">
        <v>0.52</v>
      </c>
      <c r="G247" s="18">
        <f>IF(E247="","",E247*F247/15)</f>
        <v/>
      </c>
      <c r="H247" s="19" t="n"/>
      <c r="I247" s="19">
        <f>IF(G247="","",G247*H247)</f>
        <v/>
      </c>
      <c r="J247" s="19" t="n"/>
      <c r="K247" s="19">
        <f>IF(I247="","",I247-N(J247))</f>
        <v/>
      </c>
      <c r="L247" s="14" t="n"/>
    </row>
    <row r="248">
      <c r="A248" s="20" t="n"/>
      <c r="B248" s="21" t="n"/>
      <c r="C248" s="21" t="n"/>
      <c r="D248" s="22" t="n"/>
      <c r="E248" s="23" t="n"/>
      <c r="F248" s="24" t="n">
        <v>0.52</v>
      </c>
      <c r="G248" s="25">
        <f>IF(E248="","",E248*F248/15)</f>
        <v/>
      </c>
      <c r="H248" s="26" t="n"/>
      <c r="I248" s="26">
        <f>IF(G248="","",G248*H248)</f>
        <v/>
      </c>
      <c r="J248" s="26" t="n"/>
      <c r="K248" s="26">
        <f>IF(I248="","",I248-N(J248))</f>
        <v/>
      </c>
      <c r="L248" s="21" t="n"/>
    </row>
    <row r="249">
      <c r="A249" s="13" t="n"/>
      <c r="B249" s="14" t="n"/>
      <c r="C249" s="14" t="n"/>
      <c r="D249" s="15" t="n"/>
      <c r="E249" s="16" t="n"/>
      <c r="F249" s="17" t="n">
        <v>0.52</v>
      </c>
      <c r="G249" s="18">
        <f>IF(E249="","",E249*F249/15)</f>
        <v/>
      </c>
      <c r="H249" s="19" t="n"/>
      <c r="I249" s="19">
        <f>IF(G249="","",G249*H249)</f>
        <v/>
      </c>
      <c r="J249" s="19" t="n"/>
      <c r="K249" s="19">
        <f>IF(I249="","",I249-N(J249))</f>
        <v/>
      </c>
      <c r="L249" s="14" t="n"/>
    </row>
    <row r="250">
      <c r="A250" s="20" t="n"/>
      <c r="B250" s="21" t="n"/>
      <c r="C250" s="21" t="n"/>
      <c r="D250" s="22" t="n"/>
      <c r="E250" s="23" t="n"/>
      <c r="F250" s="24" t="n">
        <v>0.52</v>
      </c>
      <c r="G250" s="25">
        <f>IF(E250="","",E250*F250/15)</f>
        <v/>
      </c>
      <c r="H250" s="26" t="n"/>
      <c r="I250" s="26">
        <f>IF(G250="","",G250*H250)</f>
        <v/>
      </c>
      <c r="J250" s="26" t="n"/>
      <c r="K250" s="26">
        <f>IF(I250="","",I250-N(J250))</f>
        <v/>
      </c>
      <c r="L250" s="21" t="n"/>
    </row>
    <row r="251">
      <c r="A251" s="13" t="n"/>
      <c r="B251" s="14" t="n"/>
      <c r="C251" s="14" t="n"/>
      <c r="D251" s="15" t="n"/>
      <c r="E251" s="16" t="n"/>
      <c r="F251" s="17" t="n">
        <v>0.52</v>
      </c>
      <c r="G251" s="18">
        <f>IF(E251="","",E251*F251/15)</f>
        <v/>
      </c>
      <c r="H251" s="19" t="n"/>
      <c r="I251" s="19">
        <f>IF(G251="","",G251*H251)</f>
        <v/>
      </c>
      <c r="J251" s="19" t="n"/>
      <c r="K251" s="19">
        <f>IF(I251="","",I251-N(J251))</f>
        <v/>
      </c>
      <c r="L251" s="14" t="n"/>
    </row>
    <row r="252">
      <c r="A252" s="20" t="n"/>
      <c r="B252" s="21" t="n"/>
      <c r="C252" s="21" t="n"/>
      <c r="D252" s="22" t="n"/>
      <c r="E252" s="23" t="n"/>
      <c r="F252" s="24" t="n">
        <v>0.52</v>
      </c>
      <c r="G252" s="25">
        <f>IF(E252="","",E252*F252/15)</f>
        <v/>
      </c>
      <c r="H252" s="26" t="n"/>
      <c r="I252" s="26">
        <f>IF(G252="","",G252*H252)</f>
        <v/>
      </c>
      <c r="J252" s="26" t="n"/>
      <c r="K252" s="26">
        <f>IF(I252="","",I252-N(J252))</f>
        <v/>
      </c>
      <c r="L252" s="21" t="n"/>
    </row>
    <row r="253">
      <c r="A253" s="13" t="n"/>
      <c r="B253" s="14" t="n"/>
      <c r="C253" s="14" t="n"/>
      <c r="D253" s="15" t="n"/>
      <c r="E253" s="16" t="n"/>
      <c r="F253" s="17" t="n">
        <v>0.52</v>
      </c>
      <c r="G253" s="18">
        <f>IF(E253="","",E253*F253/15)</f>
        <v/>
      </c>
      <c r="H253" s="19" t="n"/>
      <c r="I253" s="19">
        <f>IF(G253="","",G253*H253)</f>
        <v/>
      </c>
      <c r="J253" s="19" t="n"/>
      <c r="K253" s="19">
        <f>IF(I253="","",I253-N(J253))</f>
        <v/>
      </c>
      <c r="L253" s="14" t="n"/>
    </row>
    <row r="254">
      <c r="A254" s="20" t="n"/>
      <c r="B254" s="21" t="n"/>
      <c r="C254" s="21" t="n"/>
      <c r="D254" s="22" t="n"/>
      <c r="E254" s="23" t="n"/>
      <c r="F254" s="24" t="n">
        <v>0.52</v>
      </c>
      <c r="G254" s="25">
        <f>IF(E254="","",E254*F254/15)</f>
        <v/>
      </c>
      <c r="H254" s="26" t="n"/>
      <c r="I254" s="26">
        <f>IF(G254="","",G254*H254)</f>
        <v/>
      </c>
      <c r="J254" s="26" t="n"/>
      <c r="K254" s="26">
        <f>IF(I254="","",I254-N(J254))</f>
        <v/>
      </c>
      <c r="L254" s="21" t="n"/>
    </row>
    <row r="255">
      <c r="A255" s="13" t="n"/>
      <c r="B255" s="14" t="n"/>
      <c r="C255" s="14" t="n"/>
      <c r="D255" s="15" t="n"/>
      <c r="E255" s="16" t="n"/>
      <c r="F255" s="17" t="n">
        <v>0.52</v>
      </c>
      <c r="G255" s="18">
        <f>IF(E255="","",E255*F255/15)</f>
        <v/>
      </c>
      <c r="H255" s="19" t="n"/>
      <c r="I255" s="19">
        <f>IF(G255="","",G255*H255)</f>
        <v/>
      </c>
      <c r="J255" s="19" t="n"/>
      <c r="K255" s="19">
        <f>IF(I255="","",I255-N(J255))</f>
        <v/>
      </c>
      <c r="L255" s="14" t="n"/>
    </row>
    <row r="256">
      <c r="A256" s="20" t="n"/>
      <c r="B256" s="21" t="n"/>
      <c r="C256" s="21" t="n"/>
      <c r="D256" s="22" t="n"/>
      <c r="E256" s="23" t="n"/>
      <c r="F256" s="24" t="n">
        <v>0.52</v>
      </c>
      <c r="G256" s="25">
        <f>IF(E256="","",E256*F256/15)</f>
        <v/>
      </c>
      <c r="H256" s="26" t="n"/>
      <c r="I256" s="26">
        <f>IF(G256="","",G256*H256)</f>
        <v/>
      </c>
      <c r="J256" s="26" t="n"/>
      <c r="K256" s="26">
        <f>IF(I256="","",I256-N(J256))</f>
        <v/>
      </c>
      <c r="L256" s="21" t="n"/>
    </row>
    <row r="257">
      <c r="A257" s="13" t="n"/>
      <c r="B257" s="14" t="n"/>
      <c r="C257" s="14" t="n"/>
      <c r="D257" s="15" t="n"/>
      <c r="E257" s="16" t="n"/>
      <c r="F257" s="17" t="n">
        <v>0.52</v>
      </c>
      <c r="G257" s="18">
        <f>IF(E257="","",E257*F257/15)</f>
        <v/>
      </c>
      <c r="H257" s="19" t="n"/>
      <c r="I257" s="19">
        <f>IF(G257="","",G257*H257)</f>
        <v/>
      </c>
      <c r="J257" s="19" t="n"/>
      <c r="K257" s="19">
        <f>IF(I257="","",I257-N(J257))</f>
        <v/>
      </c>
      <c r="L257" s="14" t="n"/>
    </row>
    <row r="258">
      <c r="A258" s="20" t="n"/>
      <c r="B258" s="21" t="n"/>
      <c r="C258" s="21" t="n"/>
      <c r="D258" s="22" t="n"/>
      <c r="E258" s="23" t="n"/>
      <c r="F258" s="24" t="n">
        <v>0.52</v>
      </c>
      <c r="G258" s="25">
        <f>IF(E258="","",E258*F258/15)</f>
        <v/>
      </c>
      <c r="H258" s="26" t="n"/>
      <c r="I258" s="26">
        <f>IF(G258="","",G258*H258)</f>
        <v/>
      </c>
      <c r="J258" s="26" t="n"/>
      <c r="K258" s="26">
        <f>IF(I258="","",I258-N(J258))</f>
        <v/>
      </c>
      <c r="L258" s="21" t="n"/>
    </row>
    <row r="259">
      <c r="A259" s="13" t="n"/>
      <c r="B259" s="14" t="n"/>
      <c r="C259" s="14" t="n"/>
      <c r="D259" s="15" t="n"/>
      <c r="E259" s="16" t="n"/>
      <c r="F259" s="17" t="n">
        <v>0.52</v>
      </c>
      <c r="G259" s="18">
        <f>IF(E259="","",E259*F259/15)</f>
        <v/>
      </c>
      <c r="H259" s="19" t="n"/>
      <c r="I259" s="19">
        <f>IF(G259="","",G259*H259)</f>
        <v/>
      </c>
      <c r="J259" s="19" t="n"/>
      <c r="K259" s="19">
        <f>IF(I259="","",I259-N(J259))</f>
        <v/>
      </c>
      <c r="L259" s="14" t="n"/>
    </row>
    <row r="260">
      <c r="A260" s="20" t="n"/>
      <c r="B260" s="21" t="n"/>
      <c r="C260" s="21" t="n"/>
      <c r="D260" s="22" t="n"/>
      <c r="E260" s="23" t="n"/>
      <c r="F260" s="24" t="n">
        <v>0.52</v>
      </c>
      <c r="G260" s="25">
        <f>IF(E260="","",E260*F260/15)</f>
        <v/>
      </c>
      <c r="H260" s="26" t="n"/>
      <c r="I260" s="26">
        <f>IF(G260="","",G260*H260)</f>
        <v/>
      </c>
      <c r="J260" s="26" t="n"/>
      <c r="K260" s="26">
        <f>IF(I260="","",I260-N(J260))</f>
        <v/>
      </c>
      <c r="L260" s="21" t="n"/>
    </row>
    <row r="261">
      <c r="A261" s="13" t="n"/>
      <c r="B261" s="14" t="n"/>
      <c r="C261" s="14" t="n"/>
      <c r="D261" s="15" t="n"/>
      <c r="E261" s="16" t="n"/>
      <c r="F261" s="17" t="n">
        <v>0.52</v>
      </c>
      <c r="G261" s="18">
        <f>IF(E261="","",E261*F261/15)</f>
        <v/>
      </c>
      <c r="H261" s="19" t="n"/>
      <c r="I261" s="19">
        <f>IF(G261="","",G261*H261)</f>
        <v/>
      </c>
      <c r="J261" s="19" t="n"/>
      <c r="K261" s="19">
        <f>IF(I261="","",I261-N(J261))</f>
        <v/>
      </c>
      <c r="L261" s="14" t="n"/>
    </row>
    <row r="262">
      <c r="A262" s="20" t="n"/>
      <c r="B262" s="21" t="n"/>
      <c r="C262" s="21" t="n"/>
      <c r="D262" s="22" t="n"/>
      <c r="E262" s="23" t="n"/>
      <c r="F262" s="24" t="n">
        <v>0.52</v>
      </c>
      <c r="G262" s="25">
        <f>IF(E262="","",E262*F262/15)</f>
        <v/>
      </c>
      <c r="H262" s="26" t="n"/>
      <c r="I262" s="26">
        <f>IF(G262="","",G262*H262)</f>
        <v/>
      </c>
      <c r="J262" s="26" t="n"/>
      <c r="K262" s="26">
        <f>IF(I262="","",I262-N(J262))</f>
        <v/>
      </c>
      <c r="L262" s="21" t="n"/>
    </row>
    <row r="263">
      <c r="A263" s="13" t="n"/>
      <c r="B263" s="14" t="n"/>
      <c r="C263" s="14" t="n"/>
      <c r="D263" s="15" t="n"/>
      <c r="E263" s="16" t="n"/>
      <c r="F263" s="17" t="n">
        <v>0.52</v>
      </c>
      <c r="G263" s="18">
        <f>IF(E263="","",E263*F263/15)</f>
        <v/>
      </c>
      <c r="H263" s="19" t="n"/>
      <c r="I263" s="19">
        <f>IF(G263="","",G263*H263)</f>
        <v/>
      </c>
      <c r="J263" s="19" t="n"/>
      <c r="K263" s="19">
        <f>IF(I263="","",I263-N(J263))</f>
        <v/>
      </c>
      <c r="L263" s="14" t="n"/>
    </row>
    <row r="264">
      <c r="A264" s="20" t="n"/>
      <c r="B264" s="21" t="n"/>
      <c r="C264" s="21" t="n"/>
      <c r="D264" s="22" t="n"/>
      <c r="E264" s="23" t="n"/>
      <c r="F264" s="24" t="n">
        <v>0.52</v>
      </c>
      <c r="G264" s="25">
        <f>IF(E264="","",E264*F264/15)</f>
        <v/>
      </c>
      <c r="H264" s="26" t="n"/>
      <c r="I264" s="26">
        <f>IF(G264="","",G264*H264)</f>
        <v/>
      </c>
      <c r="J264" s="26" t="n"/>
      <c r="K264" s="26">
        <f>IF(I264="","",I264-N(J264))</f>
        <v/>
      </c>
      <c r="L264" s="21" t="n"/>
    </row>
    <row r="265">
      <c r="A265" s="13" t="n"/>
      <c r="B265" s="14" t="n"/>
      <c r="C265" s="14" t="n"/>
      <c r="D265" s="15" t="n"/>
      <c r="E265" s="16" t="n"/>
      <c r="F265" s="17" t="n">
        <v>0.52</v>
      </c>
      <c r="G265" s="18">
        <f>IF(E265="","",E265*F265/15)</f>
        <v/>
      </c>
      <c r="H265" s="19" t="n"/>
      <c r="I265" s="19">
        <f>IF(G265="","",G265*H265)</f>
        <v/>
      </c>
      <c r="J265" s="19" t="n"/>
      <c r="K265" s="19">
        <f>IF(I265="","",I265-N(J265))</f>
        <v/>
      </c>
      <c r="L265" s="14" t="n"/>
    </row>
    <row r="266">
      <c r="A266" s="20" t="n"/>
      <c r="B266" s="21" t="n"/>
      <c r="C266" s="21" t="n"/>
      <c r="D266" s="22" t="n"/>
      <c r="E266" s="23" t="n"/>
      <c r="F266" s="24" t="n">
        <v>0.52</v>
      </c>
      <c r="G266" s="25">
        <f>IF(E266="","",E266*F266/15)</f>
        <v/>
      </c>
      <c r="H266" s="26" t="n"/>
      <c r="I266" s="26">
        <f>IF(G266="","",G266*H266)</f>
        <v/>
      </c>
      <c r="J266" s="26" t="n"/>
      <c r="K266" s="26">
        <f>IF(I266="","",I266-N(J266))</f>
        <v/>
      </c>
      <c r="L266" s="21" t="n"/>
    </row>
    <row r="267">
      <c r="A267" s="13" t="n"/>
      <c r="B267" s="14" t="n"/>
      <c r="C267" s="14" t="n"/>
      <c r="D267" s="15" t="n"/>
      <c r="E267" s="16" t="n"/>
      <c r="F267" s="17" t="n">
        <v>0.52</v>
      </c>
      <c r="G267" s="18">
        <f>IF(E267="","",E267*F267/15)</f>
        <v/>
      </c>
      <c r="H267" s="19" t="n"/>
      <c r="I267" s="19">
        <f>IF(G267="","",G267*H267)</f>
        <v/>
      </c>
      <c r="J267" s="19" t="n"/>
      <c r="K267" s="19">
        <f>IF(I267="","",I267-N(J267))</f>
        <v/>
      </c>
      <c r="L267" s="14" t="n"/>
    </row>
    <row r="268">
      <c r="A268" s="20" t="n"/>
      <c r="B268" s="21" t="n"/>
      <c r="C268" s="21" t="n"/>
      <c r="D268" s="22" t="n"/>
      <c r="E268" s="23" t="n"/>
      <c r="F268" s="24" t="n">
        <v>0.52</v>
      </c>
      <c r="G268" s="25">
        <f>IF(E268="","",E268*F268/15)</f>
        <v/>
      </c>
      <c r="H268" s="26" t="n"/>
      <c r="I268" s="26">
        <f>IF(G268="","",G268*H268)</f>
        <v/>
      </c>
      <c r="J268" s="26" t="n"/>
      <c r="K268" s="26">
        <f>IF(I268="","",I268-N(J268))</f>
        <v/>
      </c>
      <c r="L268" s="21" t="n"/>
    </row>
    <row r="269">
      <c r="A269" s="13" t="n"/>
      <c r="B269" s="14" t="n"/>
      <c r="C269" s="14" t="n"/>
      <c r="D269" s="15" t="n"/>
      <c r="E269" s="16" t="n"/>
      <c r="F269" s="17" t="n">
        <v>0.52</v>
      </c>
      <c r="G269" s="18">
        <f>IF(E269="","",E269*F269/15)</f>
        <v/>
      </c>
      <c r="H269" s="19" t="n"/>
      <c r="I269" s="19">
        <f>IF(G269="","",G269*H269)</f>
        <v/>
      </c>
      <c r="J269" s="19" t="n"/>
      <c r="K269" s="19">
        <f>IF(I269="","",I269-N(J269))</f>
        <v/>
      </c>
      <c r="L269" s="14" t="n"/>
    </row>
    <row r="270">
      <c r="A270" s="20" t="n"/>
      <c r="B270" s="21" t="n"/>
      <c r="C270" s="21" t="n"/>
      <c r="D270" s="22" t="n"/>
      <c r="E270" s="23" t="n"/>
      <c r="F270" s="24" t="n">
        <v>0.52</v>
      </c>
      <c r="G270" s="25">
        <f>IF(E270="","",E270*F270/15)</f>
        <v/>
      </c>
      <c r="H270" s="26" t="n"/>
      <c r="I270" s="26">
        <f>IF(G270="","",G270*H270)</f>
        <v/>
      </c>
      <c r="J270" s="26" t="n"/>
      <c r="K270" s="26">
        <f>IF(I270="","",I270-N(J270))</f>
        <v/>
      </c>
      <c r="L270" s="21" t="n"/>
    </row>
    <row r="271">
      <c r="A271" s="13" t="n"/>
      <c r="B271" s="14" t="n"/>
      <c r="C271" s="14" t="n"/>
      <c r="D271" s="15" t="n"/>
      <c r="E271" s="16" t="n"/>
      <c r="F271" s="17" t="n">
        <v>0.52</v>
      </c>
      <c r="G271" s="18">
        <f>IF(E271="","",E271*F271/15)</f>
        <v/>
      </c>
      <c r="H271" s="19" t="n"/>
      <c r="I271" s="19">
        <f>IF(G271="","",G271*H271)</f>
        <v/>
      </c>
      <c r="J271" s="19" t="n"/>
      <c r="K271" s="19">
        <f>IF(I271="","",I271-N(J271))</f>
        <v/>
      </c>
      <c r="L271" s="14" t="n"/>
    </row>
    <row r="272">
      <c r="A272" s="20" t="n"/>
      <c r="B272" s="21" t="n"/>
      <c r="C272" s="21" t="n"/>
      <c r="D272" s="22" t="n"/>
      <c r="E272" s="23" t="n"/>
      <c r="F272" s="24" t="n">
        <v>0.52</v>
      </c>
      <c r="G272" s="25">
        <f>IF(E272="","",E272*F272/15)</f>
        <v/>
      </c>
      <c r="H272" s="26" t="n"/>
      <c r="I272" s="26">
        <f>IF(G272="","",G272*H272)</f>
        <v/>
      </c>
      <c r="J272" s="26" t="n"/>
      <c r="K272" s="26">
        <f>IF(I272="","",I272-N(J272))</f>
        <v/>
      </c>
      <c r="L272" s="21" t="n"/>
    </row>
    <row r="273">
      <c r="A273" s="13" t="n"/>
      <c r="B273" s="14" t="n"/>
      <c r="C273" s="14" t="n"/>
      <c r="D273" s="15" t="n"/>
      <c r="E273" s="16" t="n"/>
      <c r="F273" s="17" t="n">
        <v>0.52</v>
      </c>
      <c r="G273" s="18">
        <f>IF(E273="","",E273*F273/15)</f>
        <v/>
      </c>
      <c r="H273" s="19" t="n"/>
      <c r="I273" s="19">
        <f>IF(G273="","",G273*H273)</f>
        <v/>
      </c>
      <c r="J273" s="19" t="n"/>
      <c r="K273" s="19">
        <f>IF(I273="","",I273-N(J273))</f>
        <v/>
      </c>
      <c r="L273" s="14" t="n"/>
    </row>
    <row r="274">
      <c r="A274" s="20" t="n"/>
      <c r="B274" s="21" t="n"/>
      <c r="C274" s="21" t="n"/>
      <c r="D274" s="22" t="n"/>
      <c r="E274" s="23" t="n"/>
      <c r="F274" s="24" t="n">
        <v>0.52</v>
      </c>
      <c r="G274" s="25">
        <f>IF(E274="","",E274*F274/15)</f>
        <v/>
      </c>
      <c r="H274" s="26" t="n"/>
      <c r="I274" s="26">
        <f>IF(G274="","",G274*H274)</f>
        <v/>
      </c>
      <c r="J274" s="26" t="n"/>
      <c r="K274" s="26">
        <f>IF(I274="","",I274-N(J274))</f>
        <v/>
      </c>
      <c r="L274" s="21" t="n"/>
    </row>
    <row r="275">
      <c r="A275" s="13" t="n"/>
      <c r="B275" s="14" t="n"/>
      <c r="C275" s="14" t="n"/>
      <c r="D275" s="15" t="n"/>
      <c r="E275" s="16" t="n"/>
      <c r="F275" s="17" t="n">
        <v>0.52</v>
      </c>
      <c r="G275" s="18">
        <f>IF(E275="","",E275*F275/15)</f>
        <v/>
      </c>
      <c r="H275" s="19" t="n"/>
      <c r="I275" s="19">
        <f>IF(G275="","",G275*H275)</f>
        <v/>
      </c>
      <c r="J275" s="19" t="n"/>
      <c r="K275" s="19">
        <f>IF(I275="","",I275-N(J275))</f>
        <v/>
      </c>
      <c r="L275" s="14" t="n"/>
    </row>
    <row r="276">
      <c r="A276" s="20" t="n"/>
      <c r="B276" s="21" t="n"/>
      <c r="C276" s="21" t="n"/>
      <c r="D276" s="22" t="n"/>
      <c r="E276" s="23" t="n"/>
      <c r="F276" s="24" t="n">
        <v>0.52</v>
      </c>
      <c r="G276" s="25">
        <f>IF(E276="","",E276*F276/15)</f>
        <v/>
      </c>
      <c r="H276" s="26" t="n"/>
      <c r="I276" s="26">
        <f>IF(G276="","",G276*H276)</f>
        <v/>
      </c>
      <c r="J276" s="26" t="n"/>
      <c r="K276" s="26">
        <f>IF(I276="","",I276-N(J276))</f>
        <v/>
      </c>
      <c r="L276" s="21" t="n"/>
    </row>
    <row r="277">
      <c r="A277" s="13" t="n"/>
      <c r="B277" s="14" t="n"/>
      <c r="C277" s="14" t="n"/>
      <c r="D277" s="15" t="n"/>
      <c r="E277" s="16" t="n"/>
      <c r="F277" s="17" t="n">
        <v>0.52</v>
      </c>
      <c r="G277" s="18">
        <f>IF(E277="","",E277*F277/15)</f>
        <v/>
      </c>
      <c r="H277" s="19" t="n"/>
      <c r="I277" s="19">
        <f>IF(G277="","",G277*H277)</f>
        <v/>
      </c>
      <c r="J277" s="19" t="n"/>
      <c r="K277" s="19">
        <f>IF(I277="","",I277-N(J277))</f>
        <v/>
      </c>
      <c r="L277" s="14" t="n"/>
    </row>
    <row r="278">
      <c r="A278" s="20" t="n"/>
      <c r="B278" s="21" t="n"/>
      <c r="C278" s="21" t="n"/>
      <c r="D278" s="22" t="n"/>
      <c r="E278" s="23" t="n"/>
      <c r="F278" s="24" t="n">
        <v>0.52</v>
      </c>
      <c r="G278" s="25">
        <f>IF(E278="","",E278*F278/15)</f>
        <v/>
      </c>
      <c r="H278" s="26" t="n"/>
      <c r="I278" s="26">
        <f>IF(G278="","",G278*H278)</f>
        <v/>
      </c>
      <c r="J278" s="26" t="n"/>
      <c r="K278" s="26">
        <f>IF(I278="","",I278-N(J278))</f>
        <v/>
      </c>
      <c r="L278" s="21" t="n"/>
    </row>
    <row r="279">
      <c r="A279" s="13" t="n"/>
      <c r="B279" s="14" t="n"/>
      <c r="C279" s="14" t="n"/>
      <c r="D279" s="15" t="n"/>
      <c r="E279" s="16" t="n"/>
      <c r="F279" s="17" t="n">
        <v>0.52</v>
      </c>
      <c r="G279" s="18">
        <f>IF(E279="","",E279*F279/15)</f>
        <v/>
      </c>
      <c r="H279" s="19" t="n"/>
      <c r="I279" s="19">
        <f>IF(G279="","",G279*H279)</f>
        <v/>
      </c>
      <c r="J279" s="19" t="n"/>
      <c r="K279" s="19">
        <f>IF(I279="","",I279-N(J279))</f>
        <v/>
      </c>
      <c r="L279" s="14" t="n"/>
    </row>
    <row r="280">
      <c r="A280" s="20" t="n"/>
      <c r="B280" s="21" t="n"/>
      <c r="C280" s="21" t="n"/>
      <c r="D280" s="22" t="n"/>
      <c r="E280" s="23" t="n"/>
      <c r="F280" s="24" t="n">
        <v>0.52</v>
      </c>
      <c r="G280" s="25">
        <f>IF(E280="","",E280*F280/15)</f>
        <v/>
      </c>
      <c r="H280" s="26" t="n"/>
      <c r="I280" s="26">
        <f>IF(G280="","",G280*H280)</f>
        <v/>
      </c>
      <c r="J280" s="26" t="n"/>
      <c r="K280" s="26">
        <f>IF(I280="","",I280-N(J280))</f>
        <v/>
      </c>
      <c r="L280" s="21" t="n"/>
    </row>
    <row r="281">
      <c r="A281" s="13" t="n"/>
      <c r="B281" s="14" t="n"/>
      <c r="C281" s="14" t="n"/>
      <c r="D281" s="15" t="n"/>
      <c r="E281" s="16" t="n"/>
      <c r="F281" s="17" t="n">
        <v>0.52</v>
      </c>
      <c r="G281" s="18">
        <f>IF(E281="","",E281*F281/15)</f>
        <v/>
      </c>
      <c r="H281" s="19" t="n"/>
      <c r="I281" s="19">
        <f>IF(G281="","",G281*H281)</f>
        <v/>
      </c>
      <c r="J281" s="19" t="n"/>
      <c r="K281" s="19">
        <f>IF(I281="","",I281-N(J281))</f>
        <v/>
      </c>
      <c r="L281" s="14" t="n"/>
    </row>
    <row r="282">
      <c r="A282" s="20" t="n"/>
      <c r="B282" s="21" t="n"/>
      <c r="C282" s="21" t="n"/>
      <c r="D282" s="22" t="n"/>
      <c r="E282" s="23" t="n"/>
      <c r="F282" s="24" t="n">
        <v>0.52</v>
      </c>
      <c r="G282" s="25">
        <f>IF(E282="","",E282*F282/15)</f>
        <v/>
      </c>
      <c r="H282" s="26" t="n"/>
      <c r="I282" s="26">
        <f>IF(G282="","",G282*H282)</f>
        <v/>
      </c>
      <c r="J282" s="26" t="n"/>
      <c r="K282" s="26">
        <f>IF(I282="","",I282-N(J282))</f>
        <v/>
      </c>
      <c r="L282" s="21" t="n"/>
    </row>
    <row r="283">
      <c r="A283" s="13" t="n"/>
      <c r="B283" s="14" t="n"/>
      <c r="C283" s="14" t="n"/>
      <c r="D283" s="15" t="n"/>
      <c r="E283" s="16" t="n"/>
      <c r="F283" s="17" t="n">
        <v>0.52</v>
      </c>
      <c r="G283" s="18">
        <f>IF(E283="","",E283*F283/15)</f>
        <v/>
      </c>
      <c r="H283" s="19" t="n"/>
      <c r="I283" s="19">
        <f>IF(G283="","",G283*H283)</f>
        <v/>
      </c>
      <c r="J283" s="19" t="n"/>
      <c r="K283" s="19">
        <f>IF(I283="","",I283-N(J283))</f>
        <v/>
      </c>
      <c r="L283" s="14" t="n"/>
    </row>
    <row r="284">
      <c r="A284" s="20" t="n"/>
      <c r="B284" s="21" t="n"/>
      <c r="C284" s="21" t="n"/>
      <c r="D284" s="22" t="n"/>
      <c r="E284" s="23" t="n"/>
      <c r="F284" s="24" t="n">
        <v>0.52</v>
      </c>
      <c r="G284" s="25">
        <f>IF(E284="","",E284*F284/15)</f>
        <v/>
      </c>
      <c r="H284" s="26" t="n"/>
      <c r="I284" s="26">
        <f>IF(G284="","",G284*H284)</f>
        <v/>
      </c>
      <c r="J284" s="26" t="n"/>
      <c r="K284" s="26">
        <f>IF(I284="","",I284-N(J284))</f>
        <v/>
      </c>
      <c r="L284" s="21" t="n"/>
    </row>
    <row r="285">
      <c r="A285" s="13" t="n"/>
      <c r="B285" s="14" t="n"/>
      <c r="C285" s="14" t="n"/>
      <c r="D285" s="15" t="n"/>
      <c r="E285" s="16" t="n"/>
      <c r="F285" s="17" t="n">
        <v>0.52</v>
      </c>
      <c r="G285" s="18">
        <f>IF(E285="","",E285*F285/15)</f>
        <v/>
      </c>
      <c r="H285" s="19" t="n"/>
      <c r="I285" s="19">
        <f>IF(G285="","",G285*H285)</f>
        <v/>
      </c>
      <c r="J285" s="19" t="n"/>
      <c r="K285" s="19">
        <f>IF(I285="","",I285-N(J285))</f>
        <v/>
      </c>
      <c r="L285" s="14" t="n"/>
    </row>
    <row r="286">
      <c r="A286" s="20" t="n"/>
      <c r="B286" s="21" t="n"/>
      <c r="C286" s="21" t="n"/>
      <c r="D286" s="22" t="n"/>
      <c r="E286" s="23" t="n"/>
      <c r="F286" s="24" t="n">
        <v>0.52</v>
      </c>
      <c r="G286" s="25">
        <f>IF(E286="","",E286*F286/15)</f>
        <v/>
      </c>
      <c r="H286" s="26" t="n"/>
      <c r="I286" s="26">
        <f>IF(G286="","",G286*H286)</f>
        <v/>
      </c>
      <c r="J286" s="26" t="n"/>
      <c r="K286" s="26">
        <f>IF(I286="","",I286-N(J286))</f>
        <v/>
      </c>
      <c r="L286" s="21" t="n"/>
    </row>
    <row r="287">
      <c r="A287" s="13" t="n"/>
      <c r="B287" s="14" t="n"/>
      <c r="C287" s="14" t="n"/>
      <c r="D287" s="15" t="n"/>
      <c r="E287" s="16" t="n"/>
      <c r="F287" s="17" t="n">
        <v>0.52</v>
      </c>
      <c r="G287" s="18">
        <f>IF(E287="","",E287*F287/15)</f>
        <v/>
      </c>
      <c r="H287" s="19" t="n"/>
      <c r="I287" s="19">
        <f>IF(G287="","",G287*H287)</f>
        <v/>
      </c>
      <c r="J287" s="19" t="n"/>
      <c r="K287" s="19">
        <f>IF(I287="","",I287-N(J287))</f>
        <v/>
      </c>
      <c r="L287" s="14" t="n"/>
    </row>
    <row r="288">
      <c r="A288" s="20" t="n"/>
      <c r="B288" s="21" t="n"/>
      <c r="C288" s="21" t="n"/>
      <c r="D288" s="22" t="n"/>
      <c r="E288" s="23" t="n"/>
      <c r="F288" s="24" t="n">
        <v>0.52</v>
      </c>
      <c r="G288" s="25">
        <f>IF(E288="","",E288*F288/15)</f>
        <v/>
      </c>
      <c r="H288" s="26" t="n"/>
      <c r="I288" s="26">
        <f>IF(G288="","",G288*H288)</f>
        <v/>
      </c>
      <c r="J288" s="26" t="n"/>
      <c r="K288" s="26">
        <f>IF(I288="","",I288-N(J288))</f>
        <v/>
      </c>
      <c r="L288" s="21" t="n"/>
    </row>
    <row r="289">
      <c r="A289" s="13" t="n"/>
      <c r="B289" s="14" t="n"/>
      <c r="C289" s="14" t="n"/>
      <c r="D289" s="15" t="n"/>
      <c r="E289" s="16" t="n"/>
      <c r="F289" s="17" t="n">
        <v>0.52</v>
      </c>
      <c r="G289" s="18">
        <f>IF(E289="","",E289*F289/15)</f>
        <v/>
      </c>
      <c r="H289" s="19" t="n"/>
      <c r="I289" s="19">
        <f>IF(G289="","",G289*H289)</f>
        <v/>
      </c>
      <c r="J289" s="19" t="n"/>
      <c r="K289" s="19">
        <f>IF(I289="","",I289-N(J289))</f>
        <v/>
      </c>
      <c r="L289" s="14" t="n"/>
    </row>
    <row r="290">
      <c r="A290" s="20" t="n"/>
      <c r="B290" s="21" t="n"/>
      <c r="C290" s="21" t="n"/>
      <c r="D290" s="22" t="n"/>
      <c r="E290" s="23" t="n"/>
      <c r="F290" s="24" t="n">
        <v>0.52</v>
      </c>
      <c r="G290" s="25">
        <f>IF(E290="","",E290*F290/15)</f>
        <v/>
      </c>
      <c r="H290" s="26" t="n"/>
      <c r="I290" s="26">
        <f>IF(G290="","",G290*H290)</f>
        <v/>
      </c>
      <c r="J290" s="26" t="n"/>
      <c r="K290" s="26">
        <f>IF(I290="","",I290-N(J290))</f>
        <v/>
      </c>
      <c r="L290" s="21" t="n"/>
    </row>
    <row r="291">
      <c r="A291" s="13" t="n"/>
      <c r="B291" s="14" t="n"/>
      <c r="C291" s="14" t="n"/>
      <c r="D291" s="15" t="n"/>
      <c r="E291" s="16" t="n"/>
      <c r="F291" s="17" t="n">
        <v>0.52</v>
      </c>
      <c r="G291" s="18">
        <f>IF(E291="","",E291*F291/15)</f>
        <v/>
      </c>
      <c r="H291" s="19" t="n"/>
      <c r="I291" s="19">
        <f>IF(G291="","",G291*H291)</f>
        <v/>
      </c>
      <c r="J291" s="19" t="n"/>
      <c r="K291" s="19">
        <f>IF(I291="","",I291-N(J291))</f>
        <v/>
      </c>
      <c r="L291" s="14" t="n"/>
    </row>
    <row r="292">
      <c r="A292" s="20" t="n"/>
      <c r="B292" s="21" t="n"/>
      <c r="C292" s="21" t="n"/>
      <c r="D292" s="22" t="n"/>
      <c r="E292" s="23" t="n"/>
      <c r="F292" s="24" t="n">
        <v>0.52</v>
      </c>
      <c r="G292" s="25">
        <f>IF(E292="","",E292*F292/15)</f>
        <v/>
      </c>
      <c r="H292" s="26" t="n"/>
      <c r="I292" s="26">
        <f>IF(G292="","",G292*H292)</f>
        <v/>
      </c>
      <c r="J292" s="26" t="n"/>
      <c r="K292" s="26">
        <f>IF(I292="","",I292-N(J292))</f>
        <v/>
      </c>
      <c r="L292" s="21" t="n"/>
    </row>
    <row r="293">
      <c r="A293" s="13" t="n"/>
      <c r="B293" s="14" t="n"/>
      <c r="C293" s="14" t="n"/>
      <c r="D293" s="15" t="n"/>
      <c r="E293" s="16" t="n"/>
      <c r="F293" s="17" t="n">
        <v>0.52</v>
      </c>
      <c r="G293" s="18">
        <f>IF(E293="","",E293*F293/15)</f>
        <v/>
      </c>
      <c r="H293" s="19" t="n"/>
      <c r="I293" s="19">
        <f>IF(G293="","",G293*H293)</f>
        <v/>
      </c>
      <c r="J293" s="19" t="n"/>
      <c r="K293" s="19">
        <f>IF(I293="","",I293-N(J293))</f>
        <v/>
      </c>
      <c r="L293" s="14" t="n"/>
    </row>
    <row r="294">
      <c r="A294" s="20" t="n"/>
      <c r="B294" s="21" t="n"/>
      <c r="C294" s="21" t="n"/>
      <c r="D294" s="22" t="n"/>
      <c r="E294" s="23" t="n"/>
      <c r="F294" s="24" t="n">
        <v>0.52</v>
      </c>
      <c r="G294" s="25">
        <f>IF(E294="","",E294*F294/15)</f>
        <v/>
      </c>
      <c r="H294" s="26" t="n"/>
      <c r="I294" s="26">
        <f>IF(G294="","",G294*H294)</f>
        <v/>
      </c>
      <c r="J294" s="26" t="n"/>
      <c r="K294" s="26">
        <f>IF(I294="","",I294-N(J294))</f>
        <v/>
      </c>
      <c r="L294" s="21" t="n"/>
    </row>
    <row r="295">
      <c r="A295" s="13" t="n"/>
      <c r="B295" s="14" t="n"/>
      <c r="C295" s="14" t="n"/>
      <c r="D295" s="15" t="n"/>
      <c r="E295" s="16" t="n"/>
      <c r="F295" s="17" t="n">
        <v>0.52</v>
      </c>
      <c r="G295" s="18">
        <f>IF(E295="","",E295*F295/15)</f>
        <v/>
      </c>
      <c r="H295" s="19" t="n"/>
      <c r="I295" s="19">
        <f>IF(G295="","",G295*H295)</f>
        <v/>
      </c>
      <c r="J295" s="19" t="n"/>
      <c r="K295" s="19">
        <f>IF(I295="","",I295-N(J295))</f>
        <v/>
      </c>
      <c r="L295" s="14" t="n"/>
    </row>
    <row r="296">
      <c r="A296" s="20" t="n"/>
      <c r="B296" s="21" t="n"/>
      <c r="C296" s="21" t="n"/>
      <c r="D296" s="22" t="n"/>
      <c r="E296" s="23" t="n"/>
      <c r="F296" s="24" t="n">
        <v>0.52</v>
      </c>
      <c r="G296" s="25">
        <f>IF(E296="","",E296*F296/15)</f>
        <v/>
      </c>
      <c r="H296" s="26" t="n"/>
      <c r="I296" s="26">
        <f>IF(G296="","",G296*H296)</f>
        <v/>
      </c>
      <c r="J296" s="26" t="n"/>
      <c r="K296" s="26">
        <f>IF(I296="","",I296-N(J296))</f>
        <v/>
      </c>
      <c r="L296" s="21" t="n"/>
    </row>
    <row r="297">
      <c r="A297" s="13" t="n"/>
      <c r="B297" s="14" t="n"/>
      <c r="C297" s="14" t="n"/>
      <c r="D297" s="15" t="n"/>
      <c r="E297" s="16" t="n"/>
      <c r="F297" s="17" t="n">
        <v>0.52</v>
      </c>
      <c r="G297" s="18">
        <f>IF(E297="","",E297*F297/15)</f>
        <v/>
      </c>
      <c r="H297" s="19" t="n"/>
      <c r="I297" s="19">
        <f>IF(G297="","",G297*H297)</f>
        <v/>
      </c>
      <c r="J297" s="19" t="n"/>
      <c r="K297" s="19">
        <f>IF(I297="","",I297-N(J297))</f>
        <v/>
      </c>
      <c r="L297" s="14" t="n"/>
    </row>
    <row r="298">
      <c r="A298" s="20" t="n"/>
      <c r="B298" s="21" t="n"/>
      <c r="C298" s="21" t="n"/>
      <c r="D298" s="22" t="n"/>
      <c r="E298" s="23" t="n"/>
      <c r="F298" s="24" t="n">
        <v>0.52</v>
      </c>
      <c r="G298" s="25">
        <f>IF(E298="","",E298*F298/15)</f>
        <v/>
      </c>
      <c r="H298" s="26" t="n"/>
      <c r="I298" s="26">
        <f>IF(G298="","",G298*H298)</f>
        <v/>
      </c>
      <c r="J298" s="26" t="n"/>
      <c r="K298" s="26">
        <f>IF(I298="","",I298-N(J298))</f>
        <v/>
      </c>
      <c r="L298" s="21" t="n"/>
    </row>
    <row r="299">
      <c r="A299" s="13" t="n"/>
      <c r="B299" s="14" t="n"/>
      <c r="C299" s="14" t="n"/>
      <c r="D299" s="15" t="n"/>
      <c r="E299" s="16" t="n"/>
      <c r="F299" s="17" t="n">
        <v>0.52</v>
      </c>
      <c r="G299" s="18">
        <f>IF(E299="","",E299*F299/15)</f>
        <v/>
      </c>
      <c r="H299" s="19" t="n"/>
      <c r="I299" s="19">
        <f>IF(G299="","",G299*H299)</f>
        <v/>
      </c>
      <c r="J299" s="19" t="n"/>
      <c r="K299" s="19">
        <f>IF(I299="","",I299-N(J299))</f>
        <v/>
      </c>
      <c r="L299" s="14" t="n"/>
    </row>
    <row r="300">
      <c r="A300" s="20" t="n"/>
      <c r="B300" s="21" t="n"/>
      <c r="C300" s="21" t="n"/>
      <c r="D300" s="22" t="n"/>
      <c r="E300" s="23" t="n"/>
      <c r="F300" s="24" t="n">
        <v>0.52</v>
      </c>
      <c r="G300" s="25">
        <f>IF(E300="","",E300*F300/15)</f>
        <v/>
      </c>
      <c r="H300" s="26" t="n"/>
      <c r="I300" s="26">
        <f>IF(G300="","",G300*H300)</f>
        <v/>
      </c>
      <c r="J300" s="26" t="n"/>
      <c r="K300" s="26">
        <f>IF(I300="","",I300-N(J300))</f>
        <v/>
      </c>
      <c r="L300" s="21" t="n"/>
    </row>
    <row r="301">
      <c r="A301" s="13" t="n"/>
      <c r="B301" s="14" t="n"/>
      <c r="C301" s="14" t="n"/>
      <c r="D301" s="15" t="n"/>
      <c r="E301" s="16" t="n"/>
      <c r="F301" s="17" t="n">
        <v>0.52</v>
      </c>
      <c r="G301" s="18">
        <f>IF(E301="","",E301*F301/15)</f>
        <v/>
      </c>
      <c r="H301" s="19" t="n"/>
      <c r="I301" s="19">
        <f>IF(G301="","",G301*H301)</f>
        <v/>
      </c>
      <c r="J301" s="19" t="n"/>
      <c r="K301" s="19">
        <f>IF(I301="","",I301-N(J301))</f>
        <v/>
      </c>
      <c r="L301" s="14" t="n"/>
    </row>
    <row r="302">
      <c r="A302" s="20" t="n"/>
      <c r="B302" s="21" t="n"/>
      <c r="C302" s="21" t="n"/>
      <c r="D302" s="22" t="n"/>
      <c r="E302" s="23" t="n"/>
      <c r="F302" s="24" t="n">
        <v>0.52</v>
      </c>
      <c r="G302" s="25">
        <f>IF(E302="","",E302*F302/15)</f>
        <v/>
      </c>
      <c r="H302" s="26" t="n"/>
      <c r="I302" s="26">
        <f>IF(G302="","",G302*H302)</f>
        <v/>
      </c>
      <c r="J302" s="26" t="n"/>
      <c r="K302" s="26">
        <f>IF(I302="","",I302-N(J302))</f>
        <v/>
      </c>
      <c r="L302" s="21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</cols>
  <sheetData>
    <row r="1" ht="30" customHeight="1">
      <c r="A1" s="1" t="inlineStr">
        <is>
          <t>🐄 LOTES — cada lote do começo ao fim</t>
        </is>
      </c>
    </row>
    <row r="2" ht="30" customHeight="1">
      <c r="A2" s="12" t="inlineStr">
        <is>
          <t>LOTE</t>
        </is>
      </c>
      <c r="B2" s="12" t="inlineStr">
        <is>
          <t>ENTROU EM</t>
        </is>
      </c>
      <c r="C2" s="12" t="inlineStr">
        <is>
          <t>SAIU EM</t>
        </is>
      </c>
      <c r="D2" s="12" t="inlineStr">
        <is>
          <t>DIAS NO PASTO</t>
        </is>
      </c>
      <c r="E2" s="12" t="inlineStr">
        <is>
          <t>CABEÇAS QUE ENTRARAM</t>
        </is>
      </c>
      <c r="F2" s="12" t="inlineStr">
        <is>
          <t>CABEÇAS QUE SAÍRAM</t>
        </is>
      </c>
      <c r="G2" s="12" t="inlineStr">
        <is>
          <t>PESO DE ENTRADA</t>
        </is>
      </c>
      <c r="H2" s="12" t="inlineStr">
        <is>
          <t>PESO DE SAÍDA</t>
        </is>
      </c>
      <c r="I2" s="12" t="inlineStr">
        <is>
          <t>GANHO DE PESO</t>
        </is>
      </c>
      <c r="J2" s="12" t="inlineStr">
        <is>
          <t>CUSTO</t>
        </is>
      </c>
      <c r="K2" s="12" t="inlineStr">
        <is>
          <t>RECEITA</t>
        </is>
      </c>
      <c r="L2" s="12" t="inlineStr">
        <is>
          <t>SITUAÇÃO</t>
        </is>
      </c>
      <c r="M2" s="12" t="inlineStr">
        <is>
          <t>LUCRO</t>
        </is>
      </c>
    </row>
    <row r="3">
      <c r="A3" s="14" t="n"/>
      <c r="B3" s="13">
        <f>IF(OR($A3="",COUNTIF(COMPRAS!$B:$B,$A3)=0),"",MINIFS(COMPRAS!$A:$A,COMPRAS!$B:$B,$A3))</f>
        <v/>
      </c>
      <c r="C3" s="13">
        <f>IF(OR($A3="",COUNTIF(VENDAS!$B:$B,$A3)=0),"",MAXIFS(VENDAS!$A:$A,VENDAS!$B:$B,$A3))</f>
        <v/>
      </c>
      <c r="D3" s="15">
        <f>IF(OR($A3="",B3=""),"",IF(C3="",TODAY()-B3,C3-B3))</f>
        <v/>
      </c>
      <c r="E3" s="15">
        <f>IF($A3="","",SUMIF(COMPRAS!$B:$B,$A3,COMPRAS!$E:$E))</f>
        <v/>
      </c>
      <c r="F3" s="15">
        <f>IF($A3="","",SUMIF(VENDAS!$B:$B,$A3,VENDAS!$D:$D))</f>
        <v/>
      </c>
      <c r="G3" s="16">
        <f>IF($A3="","",SUMIF(COMPRAS!$B:$B,$A3,COMPRAS!$F:$F))</f>
        <v/>
      </c>
      <c r="H3" s="16">
        <f>IF($A3="","",SUMIF(VENDAS!$B:$B,$A3,VENDAS!$E:$E))</f>
        <v/>
      </c>
      <c r="I3" s="16">
        <f>IF($A3="","",H3-G3)</f>
        <v/>
      </c>
      <c r="J3" s="19">
        <f>IF($A3="","",SUMIF(COMPRAS!$B:$B,$A3,COMPRAS!$L:$L))</f>
        <v/>
      </c>
      <c r="K3" s="19">
        <f>IF($A3="","",SUMIF(VENDAS!$B:$B,$A3,VENDAS!$K:$K))</f>
        <v/>
      </c>
      <c r="L3" s="14">
        <f>IF($A3="","",IF(F3&gt;=E3,"FECHADO","ABERTO"))</f>
        <v/>
      </c>
      <c r="M3" s="19">
        <f>IF($A3="","",K3-J3)</f>
        <v/>
      </c>
    </row>
    <row r="4">
      <c r="A4" s="21" t="n"/>
      <c r="B4" s="20">
        <f>IF(OR($A4="",COUNTIF(COMPRAS!$B:$B,$A4)=0),"",MINIFS(COMPRAS!$A:$A,COMPRAS!$B:$B,$A4))</f>
        <v/>
      </c>
      <c r="C4" s="20">
        <f>IF(OR($A4="",COUNTIF(VENDAS!$B:$B,$A4)=0),"",MAXIFS(VENDAS!$A:$A,VENDAS!$B:$B,$A4))</f>
        <v/>
      </c>
      <c r="D4" s="22">
        <f>IF(OR($A4="",B4=""),"",IF(C4="",TODAY()-B4,C4-B4))</f>
        <v/>
      </c>
      <c r="E4" s="22">
        <f>IF($A4="","",SUMIF(COMPRAS!$B:$B,$A4,COMPRAS!$E:$E))</f>
        <v/>
      </c>
      <c r="F4" s="22">
        <f>IF($A4="","",SUMIF(VENDAS!$B:$B,$A4,VENDAS!$D:$D))</f>
        <v/>
      </c>
      <c r="G4" s="23">
        <f>IF($A4="","",SUMIF(COMPRAS!$B:$B,$A4,COMPRAS!$F:$F))</f>
        <v/>
      </c>
      <c r="H4" s="23">
        <f>IF($A4="","",SUMIF(VENDAS!$B:$B,$A4,VENDAS!$E:$E))</f>
        <v/>
      </c>
      <c r="I4" s="23">
        <f>IF($A4="","",H4-G4)</f>
        <v/>
      </c>
      <c r="J4" s="26">
        <f>IF($A4="","",SUMIF(COMPRAS!$B:$B,$A4,COMPRAS!$L:$L))</f>
        <v/>
      </c>
      <c r="K4" s="26">
        <f>IF($A4="","",SUMIF(VENDAS!$B:$B,$A4,VENDAS!$K:$K))</f>
        <v/>
      </c>
      <c r="L4" s="21">
        <f>IF($A4="","",IF(F4&gt;=E4,"FECHADO","ABERTO"))</f>
        <v/>
      </c>
      <c r="M4" s="26">
        <f>IF($A4="","",K4-J4)</f>
        <v/>
      </c>
    </row>
    <row r="5">
      <c r="A5" s="14" t="n"/>
      <c r="B5" s="13">
        <f>IF(OR($A5="",COUNTIF(COMPRAS!$B:$B,$A5)=0),"",MINIFS(COMPRAS!$A:$A,COMPRAS!$B:$B,$A5))</f>
        <v/>
      </c>
      <c r="C5" s="13">
        <f>IF(OR($A5="",COUNTIF(VENDAS!$B:$B,$A5)=0),"",MAXIFS(VENDAS!$A:$A,VENDAS!$B:$B,$A5))</f>
        <v/>
      </c>
      <c r="D5" s="15">
        <f>IF(OR($A5="",B5=""),"",IF(C5="",TODAY()-B5,C5-B5))</f>
        <v/>
      </c>
      <c r="E5" s="15">
        <f>IF($A5="","",SUMIF(COMPRAS!$B:$B,$A5,COMPRAS!$E:$E))</f>
        <v/>
      </c>
      <c r="F5" s="15">
        <f>IF($A5="","",SUMIF(VENDAS!$B:$B,$A5,VENDAS!$D:$D))</f>
        <v/>
      </c>
      <c r="G5" s="16">
        <f>IF($A5="","",SUMIF(COMPRAS!$B:$B,$A5,COMPRAS!$F:$F))</f>
        <v/>
      </c>
      <c r="H5" s="16">
        <f>IF($A5="","",SUMIF(VENDAS!$B:$B,$A5,VENDAS!$E:$E))</f>
        <v/>
      </c>
      <c r="I5" s="16">
        <f>IF($A5="","",H5-G5)</f>
        <v/>
      </c>
      <c r="J5" s="19">
        <f>IF($A5="","",SUMIF(COMPRAS!$B:$B,$A5,COMPRAS!$L:$L))</f>
        <v/>
      </c>
      <c r="K5" s="19">
        <f>IF($A5="","",SUMIF(VENDAS!$B:$B,$A5,VENDAS!$K:$K))</f>
        <v/>
      </c>
      <c r="L5" s="14">
        <f>IF($A5="","",IF(F5&gt;=E5,"FECHADO","ABERTO"))</f>
        <v/>
      </c>
      <c r="M5" s="19">
        <f>IF($A5="","",K5-J5)</f>
        <v/>
      </c>
    </row>
    <row r="6">
      <c r="A6" s="21" t="n"/>
      <c r="B6" s="20">
        <f>IF(OR($A6="",COUNTIF(COMPRAS!$B:$B,$A6)=0),"",MINIFS(COMPRAS!$A:$A,COMPRAS!$B:$B,$A6))</f>
        <v/>
      </c>
      <c r="C6" s="20">
        <f>IF(OR($A6="",COUNTIF(VENDAS!$B:$B,$A6)=0),"",MAXIFS(VENDAS!$A:$A,VENDAS!$B:$B,$A6))</f>
        <v/>
      </c>
      <c r="D6" s="22">
        <f>IF(OR($A6="",B6=""),"",IF(C6="",TODAY()-B6,C6-B6))</f>
        <v/>
      </c>
      <c r="E6" s="22">
        <f>IF($A6="","",SUMIF(COMPRAS!$B:$B,$A6,COMPRAS!$E:$E))</f>
        <v/>
      </c>
      <c r="F6" s="22">
        <f>IF($A6="","",SUMIF(VENDAS!$B:$B,$A6,VENDAS!$D:$D))</f>
        <v/>
      </c>
      <c r="G6" s="23">
        <f>IF($A6="","",SUMIF(COMPRAS!$B:$B,$A6,COMPRAS!$F:$F))</f>
        <v/>
      </c>
      <c r="H6" s="23">
        <f>IF($A6="","",SUMIF(VENDAS!$B:$B,$A6,VENDAS!$E:$E))</f>
        <v/>
      </c>
      <c r="I6" s="23">
        <f>IF($A6="","",H6-G6)</f>
        <v/>
      </c>
      <c r="J6" s="26">
        <f>IF($A6="","",SUMIF(COMPRAS!$B:$B,$A6,COMPRAS!$L:$L))</f>
        <v/>
      </c>
      <c r="K6" s="26">
        <f>IF($A6="","",SUMIF(VENDAS!$B:$B,$A6,VENDAS!$K:$K))</f>
        <v/>
      </c>
      <c r="L6" s="21">
        <f>IF($A6="","",IF(F6&gt;=E6,"FECHADO","ABERTO"))</f>
        <v/>
      </c>
      <c r="M6" s="26">
        <f>IF($A6="","",K6-J6)</f>
        <v/>
      </c>
    </row>
    <row r="7">
      <c r="A7" s="14" t="n"/>
      <c r="B7" s="13">
        <f>IF(OR($A7="",COUNTIF(COMPRAS!$B:$B,$A7)=0),"",MINIFS(COMPRAS!$A:$A,COMPRAS!$B:$B,$A7))</f>
        <v/>
      </c>
      <c r="C7" s="13">
        <f>IF(OR($A7="",COUNTIF(VENDAS!$B:$B,$A7)=0),"",MAXIFS(VENDAS!$A:$A,VENDAS!$B:$B,$A7))</f>
        <v/>
      </c>
      <c r="D7" s="15">
        <f>IF(OR($A7="",B7=""),"",IF(C7="",TODAY()-B7,C7-B7))</f>
        <v/>
      </c>
      <c r="E7" s="15">
        <f>IF($A7="","",SUMIF(COMPRAS!$B:$B,$A7,COMPRAS!$E:$E))</f>
        <v/>
      </c>
      <c r="F7" s="15">
        <f>IF($A7="","",SUMIF(VENDAS!$B:$B,$A7,VENDAS!$D:$D))</f>
        <v/>
      </c>
      <c r="G7" s="16">
        <f>IF($A7="","",SUMIF(COMPRAS!$B:$B,$A7,COMPRAS!$F:$F))</f>
        <v/>
      </c>
      <c r="H7" s="16">
        <f>IF($A7="","",SUMIF(VENDAS!$B:$B,$A7,VENDAS!$E:$E))</f>
        <v/>
      </c>
      <c r="I7" s="16">
        <f>IF($A7="","",H7-G7)</f>
        <v/>
      </c>
      <c r="J7" s="19">
        <f>IF($A7="","",SUMIF(COMPRAS!$B:$B,$A7,COMPRAS!$L:$L))</f>
        <v/>
      </c>
      <c r="K7" s="19">
        <f>IF($A7="","",SUMIF(VENDAS!$B:$B,$A7,VENDAS!$K:$K))</f>
        <v/>
      </c>
      <c r="L7" s="14">
        <f>IF($A7="","",IF(F7&gt;=E7,"FECHADO","ABERTO"))</f>
        <v/>
      </c>
      <c r="M7" s="19">
        <f>IF($A7="","",K7-J7)</f>
        <v/>
      </c>
    </row>
    <row r="8">
      <c r="A8" s="21" t="n"/>
      <c r="B8" s="20">
        <f>IF(OR($A8="",COUNTIF(COMPRAS!$B:$B,$A8)=0),"",MINIFS(COMPRAS!$A:$A,COMPRAS!$B:$B,$A8))</f>
        <v/>
      </c>
      <c r="C8" s="20">
        <f>IF(OR($A8="",COUNTIF(VENDAS!$B:$B,$A8)=0),"",MAXIFS(VENDAS!$A:$A,VENDAS!$B:$B,$A8))</f>
        <v/>
      </c>
      <c r="D8" s="22">
        <f>IF(OR($A8="",B8=""),"",IF(C8="",TODAY()-B8,C8-B8))</f>
        <v/>
      </c>
      <c r="E8" s="22">
        <f>IF($A8="","",SUMIF(COMPRAS!$B:$B,$A8,COMPRAS!$E:$E))</f>
        <v/>
      </c>
      <c r="F8" s="22">
        <f>IF($A8="","",SUMIF(VENDAS!$B:$B,$A8,VENDAS!$D:$D))</f>
        <v/>
      </c>
      <c r="G8" s="23">
        <f>IF($A8="","",SUMIF(COMPRAS!$B:$B,$A8,COMPRAS!$F:$F))</f>
        <v/>
      </c>
      <c r="H8" s="23">
        <f>IF($A8="","",SUMIF(VENDAS!$B:$B,$A8,VENDAS!$E:$E))</f>
        <v/>
      </c>
      <c r="I8" s="23">
        <f>IF($A8="","",H8-G8)</f>
        <v/>
      </c>
      <c r="J8" s="26">
        <f>IF($A8="","",SUMIF(COMPRAS!$B:$B,$A8,COMPRAS!$L:$L))</f>
        <v/>
      </c>
      <c r="K8" s="26">
        <f>IF($A8="","",SUMIF(VENDAS!$B:$B,$A8,VENDAS!$K:$K))</f>
        <v/>
      </c>
      <c r="L8" s="21">
        <f>IF($A8="","",IF(F8&gt;=E8,"FECHADO","ABERTO"))</f>
        <v/>
      </c>
      <c r="M8" s="26">
        <f>IF($A8="","",K8-J8)</f>
        <v/>
      </c>
    </row>
    <row r="9">
      <c r="A9" s="14" t="n"/>
      <c r="B9" s="13">
        <f>IF(OR($A9="",COUNTIF(COMPRAS!$B:$B,$A9)=0),"",MINIFS(COMPRAS!$A:$A,COMPRAS!$B:$B,$A9))</f>
        <v/>
      </c>
      <c r="C9" s="13">
        <f>IF(OR($A9="",COUNTIF(VENDAS!$B:$B,$A9)=0),"",MAXIFS(VENDAS!$A:$A,VENDAS!$B:$B,$A9))</f>
        <v/>
      </c>
      <c r="D9" s="15">
        <f>IF(OR($A9="",B9=""),"",IF(C9="",TODAY()-B9,C9-B9))</f>
        <v/>
      </c>
      <c r="E9" s="15">
        <f>IF($A9="","",SUMIF(COMPRAS!$B:$B,$A9,COMPRAS!$E:$E))</f>
        <v/>
      </c>
      <c r="F9" s="15">
        <f>IF($A9="","",SUMIF(VENDAS!$B:$B,$A9,VENDAS!$D:$D))</f>
        <v/>
      </c>
      <c r="G9" s="16">
        <f>IF($A9="","",SUMIF(COMPRAS!$B:$B,$A9,COMPRAS!$F:$F))</f>
        <v/>
      </c>
      <c r="H9" s="16">
        <f>IF($A9="","",SUMIF(VENDAS!$B:$B,$A9,VENDAS!$E:$E))</f>
        <v/>
      </c>
      <c r="I9" s="16">
        <f>IF($A9="","",H9-G9)</f>
        <v/>
      </c>
      <c r="J9" s="19">
        <f>IF($A9="","",SUMIF(COMPRAS!$B:$B,$A9,COMPRAS!$L:$L))</f>
        <v/>
      </c>
      <c r="K9" s="19">
        <f>IF($A9="","",SUMIF(VENDAS!$B:$B,$A9,VENDAS!$K:$K))</f>
        <v/>
      </c>
      <c r="L9" s="14">
        <f>IF($A9="","",IF(F9&gt;=E9,"FECHADO","ABERTO"))</f>
        <v/>
      </c>
      <c r="M9" s="19">
        <f>IF($A9="","",K9-J9)</f>
        <v/>
      </c>
    </row>
    <row r="10">
      <c r="A10" s="21" t="n"/>
      <c r="B10" s="20">
        <f>IF(OR($A10="",COUNTIF(COMPRAS!$B:$B,$A10)=0),"",MINIFS(COMPRAS!$A:$A,COMPRAS!$B:$B,$A10))</f>
        <v/>
      </c>
      <c r="C10" s="20">
        <f>IF(OR($A10="",COUNTIF(VENDAS!$B:$B,$A10)=0),"",MAXIFS(VENDAS!$A:$A,VENDAS!$B:$B,$A10))</f>
        <v/>
      </c>
      <c r="D10" s="22">
        <f>IF(OR($A10="",B10=""),"",IF(C10="",TODAY()-B10,C10-B10))</f>
        <v/>
      </c>
      <c r="E10" s="22">
        <f>IF($A10="","",SUMIF(COMPRAS!$B:$B,$A10,COMPRAS!$E:$E))</f>
        <v/>
      </c>
      <c r="F10" s="22">
        <f>IF($A10="","",SUMIF(VENDAS!$B:$B,$A10,VENDAS!$D:$D))</f>
        <v/>
      </c>
      <c r="G10" s="23">
        <f>IF($A10="","",SUMIF(COMPRAS!$B:$B,$A10,COMPRAS!$F:$F))</f>
        <v/>
      </c>
      <c r="H10" s="23">
        <f>IF($A10="","",SUMIF(VENDAS!$B:$B,$A10,VENDAS!$E:$E))</f>
        <v/>
      </c>
      <c r="I10" s="23">
        <f>IF($A10="","",H10-G10)</f>
        <v/>
      </c>
      <c r="J10" s="26">
        <f>IF($A10="","",SUMIF(COMPRAS!$B:$B,$A10,COMPRAS!$L:$L))</f>
        <v/>
      </c>
      <c r="K10" s="26">
        <f>IF($A10="","",SUMIF(VENDAS!$B:$B,$A10,VENDAS!$K:$K))</f>
        <v/>
      </c>
      <c r="L10" s="21">
        <f>IF($A10="","",IF(F10&gt;=E10,"FECHADO","ABERTO"))</f>
        <v/>
      </c>
      <c r="M10" s="26">
        <f>IF($A10="","",K10-J10)</f>
        <v/>
      </c>
    </row>
    <row r="11">
      <c r="A11" s="14" t="n"/>
      <c r="B11" s="13">
        <f>IF(OR($A11="",COUNTIF(COMPRAS!$B:$B,$A11)=0),"",MINIFS(COMPRAS!$A:$A,COMPRAS!$B:$B,$A11))</f>
        <v/>
      </c>
      <c r="C11" s="13">
        <f>IF(OR($A11="",COUNTIF(VENDAS!$B:$B,$A11)=0),"",MAXIFS(VENDAS!$A:$A,VENDAS!$B:$B,$A11))</f>
        <v/>
      </c>
      <c r="D11" s="15">
        <f>IF(OR($A11="",B11=""),"",IF(C11="",TODAY()-B11,C11-B11))</f>
        <v/>
      </c>
      <c r="E11" s="15">
        <f>IF($A11="","",SUMIF(COMPRAS!$B:$B,$A11,COMPRAS!$E:$E))</f>
        <v/>
      </c>
      <c r="F11" s="15">
        <f>IF($A11="","",SUMIF(VENDAS!$B:$B,$A11,VENDAS!$D:$D))</f>
        <v/>
      </c>
      <c r="G11" s="16">
        <f>IF($A11="","",SUMIF(COMPRAS!$B:$B,$A11,COMPRAS!$F:$F))</f>
        <v/>
      </c>
      <c r="H11" s="16">
        <f>IF($A11="","",SUMIF(VENDAS!$B:$B,$A11,VENDAS!$E:$E))</f>
        <v/>
      </c>
      <c r="I11" s="16">
        <f>IF($A11="","",H11-G11)</f>
        <v/>
      </c>
      <c r="J11" s="19">
        <f>IF($A11="","",SUMIF(COMPRAS!$B:$B,$A11,COMPRAS!$L:$L))</f>
        <v/>
      </c>
      <c r="K11" s="19">
        <f>IF($A11="","",SUMIF(VENDAS!$B:$B,$A11,VENDAS!$K:$K))</f>
        <v/>
      </c>
      <c r="L11" s="14">
        <f>IF($A11="","",IF(F11&gt;=E11,"FECHADO","ABERTO"))</f>
        <v/>
      </c>
      <c r="M11" s="19">
        <f>IF($A11="","",K11-J11)</f>
        <v/>
      </c>
    </row>
    <row r="12">
      <c r="A12" s="21" t="n"/>
      <c r="B12" s="20">
        <f>IF(OR($A12="",COUNTIF(COMPRAS!$B:$B,$A12)=0),"",MINIFS(COMPRAS!$A:$A,COMPRAS!$B:$B,$A12))</f>
        <v/>
      </c>
      <c r="C12" s="20">
        <f>IF(OR($A12="",COUNTIF(VENDAS!$B:$B,$A12)=0),"",MAXIFS(VENDAS!$A:$A,VENDAS!$B:$B,$A12))</f>
        <v/>
      </c>
      <c r="D12" s="22">
        <f>IF(OR($A12="",B12=""),"",IF(C12="",TODAY()-B12,C12-B12))</f>
        <v/>
      </c>
      <c r="E12" s="22">
        <f>IF($A12="","",SUMIF(COMPRAS!$B:$B,$A12,COMPRAS!$E:$E))</f>
        <v/>
      </c>
      <c r="F12" s="22">
        <f>IF($A12="","",SUMIF(VENDAS!$B:$B,$A12,VENDAS!$D:$D))</f>
        <v/>
      </c>
      <c r="G12" s="23">
        <f>IF($A12="","",SUMIF(COMPRAS!$B:$B,$A12,COMPRAS!$F:$F))</f>
        <v/>
      </c>
      <c r="H12" s="23">
        <f>IF($A12="","",SUMIF(VENDAS!$B:$B,$A12,VENDAS!$E:$E))</f>
        <v/>
      </c>
      <c r="I12" s="23">
        <f>IF($A12="","",H12-G12)</f>
        <v/>
      </c>
      <c r="J12" s="26">
        <f>IF($A12="","",SUMIF(COMPRAS!$B:$B,$A12,COMPRAS!$L:$L))</f>
        <v/>
      </c>
      <c r="K12" s="26">
        <f>IF($A12="","",SUMIF(VENDAS!$B:$B,$A12,VENDAS!$K:$K))</f>
        <v/>
      </c>
      <c r="L12" s="21">
        <f>IF($A12="","",IF(F12&gt;=E12,"FECHADO","ABERTO"))</f>
        <v/>
      </c>
      <c r="M12" s="26">
        <f>IF($A12="","",K12-J12)</f>
        <v/>
      </c>
    </row>
    <row r="13">
      <c r="A13" s="14" t="n"/>
      <c r="B13" s="13">
        <f>IF(OR($A13="",COUNTIF(COMPRAS!$B:$B,$A13)=0),"",MINIFS(COMPRAS!$A:$A,COMPRAS!$B:$B,$A13))</f>
        <v/>
      </c>
      <c r="C13" s="13">
        <f>IF(OR($A13="",COUNTIF(VENDAS!$B:$B,$A13)=0),"",MAXIFS(VENDAS!$A:$A,VENDAS!$B:$B,$A13))</f>
        <v/>
      </c>
      <c r="D13" s="15">
        <f>IF(OR($A13="",B13=""),"",IF(C13="",TODAY()-B13,C13-B13))</f>
        <v/>
      </c>
      <c r="E13" s="15">
        <f>IF($A13="","",SUMIF(COMPRAS!$B:$B,$A13,COMPRAS!$E:$E))</f>
        <v/>
      </c>
      <c r="F13" s="15">
        <f>IF($A13="","",SUMIF(VENDAS!$B:$B,$A13,VENDAS!$D:$D))</f>
        <v/>
      </c>
      <c r="G13" s="16">
        <f>IF($A13="","",SUMIF(COMPRAS!$B:$B,$A13,COMPRAS!$F:$F))</f>
        <v/>
      </c>
      <c r="H13" s="16">
        <f>IF($A13="","",SUMIF(VENDAS!$B:$B,$A13,VENDAS!$E:$E))</f>
        <v/>
      </c>
      <c r="I13" s="16">
        <f>IF($A13="","",H13-G13)</f>
        <v/>
      </c>
      <c r="J13" s="19">
        <f>IF($A13="","",SUMIF(COMPRAS!$B:$B,$A13,COMPRAS!$L:$L))</f>
        <v/>
      </c>
      <c r="K13" s="19">
        <f>IF($A13="","",SUMIF(VENDAS!$B:$B,$A13,VENDAS!$K:$K))</f>
        <v/>
      </c>
      <c r="L13" s="14">
        <f>IF($A13="","",IF(F13&gt;=E13,"FECHADO","ABERTO"))</f>
        <v/>
      </c>
      <c r="M13" s="19">
        <f>IF($A13="","",K13-J13)</f>
        <v/>
      </c>
    </row>
    <row r="14">
      <c r="A14" s="21" t="n"/>
      <c r="B14" s="20">
        <f>IF(OR($A14="",COUNTIF(COMPRAS!$B:$B,$A14)=0),"",MINIFS(COMPRAS!$A:$A,COMPRAS!$B:$B,$A14))</f>
        <v/>
      </c>
      <c r="C14" s="20">
        <f>IF(OR($A14="",COUNTIF(VENDAS!$B:$B,$A14)=0),"",MAXIFS(VENDAS!$A:$A,VENDAS!$B:$B,$A14))</f>
        <v/>
      </c>
      <c r="D14" s="22">
        <f>IF(OR($A14="",B14=""),"",IF(C14="",TODAY()-B14,C14-B14))</f>
        <v/>
      </c>
      <c r="E14" s="22">
        <f>IF($A14="","",SUMIF(COMPRAS!$B:$B,$A14,COMPRAS!$E:$E))</f>
        <v/>
      </c>
      <c r="F14" s="22">
        <f>IF($A14="","",SUMIF(VENDAS!$B:$B,$A14,VENDAS!$D:$D))</f>
        <v/>
      </c>
      <c r="G14" s="23">
        <f>IF($A14="","",SUMIF(COMPRAS!$B:$B,$A14,COMPRAS!$F:$F))</f>
        <v/>
      </c>
      <c r="H14" s="23">
        <f>IF($A14="","",SUMIF(VENDAS!$B:$B,$A14,VENDAS!$E:$E))</f>
        <v/>
      </c>
      <c r="I14" s="23">
        <f>IF($A14="","",H14-G14)</f>
        <v/>
      </c>
      <c r="J14" s="26">
        <f>IF($A14="","",SUMIF(COMPRAS!$B:$B,$A14,COMPRAS!$L:$L))</f>
        <v/>
      </c>
      <c r="K14" s="26">
        <f>IF($A14="","",SUMIF(VENDAS!$B:$B,$A14,VENDAS!$K:$K))</f>
        <v/>
      </c>
      <c r="L14" s="21">
        <f>IF($A14="","",IF(F14&gt;=E14,"FECHADO","ABERTO"))</f>
        <v/>
      </c>
      <c r="M14" s="26">
        <f>IF($A14="","",K14-J14)</f>
        <v/>
      </c>
    </row>
    <row r="15">
      <c r="A15" s="14" t="n"/>
      <c r="B15" s="13">
        <f>IF(OR($A15="",COUNTIF(COMPRAS!$B:$B,$A15)=0),"",MINIFS(COMPRAS!$A:$A,COMPRAS!$B:$B,$A15))</f>
        <v/>
      </c>
      <c r="C15" s="13">
        <f>IF(OR($A15="",COUNTIF(VENDAS!$B:$B,$A15)=0),"",MAXIFS(VENDAS!$A:$A,VENDAS!$B:$B,$A15))</f>
        <v/>
      </c>
      <c r="D15" s="15">
        <f>IF(OR($A15="",B15=""),"",IF(C15="",TODAY()-B15,C15-B15))</f>
        <v/>
      </c>
      <c r="E15" s="15">
        <f>IF($A15="","",SUMIF(COMPRAS!$B:$B,$A15,COMPRAS!$E:$E))</f>
        <v/>
      </c>
      <c r="F15" s="15">
        <f>IF($A15="","",SUMIF(VENDAS!$B:$B,$A15,VENDAS!$D:$D))</f>
        <v/>
      </c>
      <c r="G15" s="16">
        <f>IF($A15="","",SUMIF(COMPRAS!$B:$B,$A15,COMPRAS!$F:$F))</f>
        <v/>
      </c>
      <c r="H15" s="16">
        <f>IF($A15="","",SUMIF(VENDAS!$B:$B,$A15,VENDAS!$E:$E))</f>
        <v/>
      </c>
      <c r="I15" s="16">
        <f>IF($A15="","",H15-G15)</f>
        <v/>
      </c>
      <c r="J15" s="19">
        <f>IF($A15="","",SUMIF(COMPRAS!$B:$B,$A15,COMPRAS!$L:$L))</f>
        <v/>
      </c>
      <c r="K15" s="19">
        <f>IF($A15="","",SUMIF(VENDAS!$B:$B,$A15,VENDAS!$K:$K))</f>
        <v/>
      </c>
      <c r="L15" s="14">
        <f>IF($A15="","",IF(F15&gt;=E15,"FECHADO","ABERTO"))</f>
        <v/>
      </c>
      <c r="M15" s="19">
        <f>IF($A15="","",K15-J15)</f>
        <v/>
      </c>
    </row>
    <row r="16">
      <c r="A16" s="21" t="n"/>
      <c r="B16" s="20">
        <f>IF(OR($A16="",COUNTIF(COMPRAS!$B:$B,$A16)=0),"",MINIFS(COMPRAS!$A:$A,COMPRAS!$B:$B,$A16))</f>
        <v/>
      </c>
      <c r="C16" s="20">
        <f>IF(OR($A16="",COUNTIF(VENDAS!$B:$B,$A16)=0),"",MAXIFS(VENDAS!$A:$A,VENDAS!$B:$B,$A16))</f>
        <v/>
      </c>
      <c r="D16" s="22">
        <f>IF(OR($A16="",B16=""),"",IF(C16="",TODAY()-B16,C16-B16))</f>
        <v/>
      </c>
      <c r="E16" s="22">
        <f>IF($A16="","",SUMIF(COMPRAS!$B:$B,$A16,COMPRAS!$E:$E))</f>
        <v/>
      </c>
      <c r="F16" s="22">
        <f>IF($A16="","",SUMIF(VENDAS!$B:$B,$A16,VENDAS!$D:$D))</f>
        <v/>
      </c>
      <c r="G16" s="23">
        <f>IF($A16="","",SUMIF(COMPRAS!$B:$B,$A16,COMPRAS!$F:$F))</f>
        <v/>
      </c>
      <c r="H16" s="23">
        <f>IF($A16="","",SUMIF(VENDAS!$B:$B,$A16,VENDAS!$E:$E))</f>
        <v/>
      </c>
      <c r="I16" s="23">
        <f>IF($A16="","",H16-G16)</f>
        <v/>
      </c>
      <c r="J16" s="26">
        <f>IF($A16="","",SUMIF(COMPRAS!$B:$B,$A16,COMPRAS!$L:$L))</f>
        <v/>
      </c>
      <c r="K16" s="26">
        <f>IF($A16="","",SUMIF(VENDAS!$B:$B,$A16,VENDAS!$K:$K))</f>
        <v/>
      </c>
      <c r="L16" s="21">
        <f>IF($A16="","",IF(F16&gt;=E16,"FECHADO","ABERTO"))</f>
        <v/>
      </c>
      <c r="M16" s="26">
        <f>IF($A16="","",K16-J16)</f>
        <v/>
      </c>
    </row>
    <row r="17">
      <c r="A17" s="14" t="n"/>
      <c r="B17" s="13">
        <f>IF(OR($A17="",COUNTIF(COMPRAS!$B:$B,$A17)=0),"",MINIFS(COMPRAS!$A:$A,COMPRAS!$B:$B,$A17))</f>
        <v/>
      </c>
      <c r="C17" s="13">
        <f>IF(OR($A17="",COUNTIF(VENDAS!$B:$B,$A17)=0),"",MAXIFS(VENDAS!$A:$A,VENDAS!$B:$B,$A17))</f>
        <v/>
      </c>
      <c r="D17" s="15">
        <f>IF(OR($A17="",B17=""),"",IF(C17="",TODAY()-B17,C17-B17))</f>
        <v/>
      </c>
      <c r="E17" s="15">
        <f>IF($A17="","",SUMIF(COMPRAS!$B:$B,$A17,COMPRAS!$E:$E))</f>
        <v/>
      </c>
      <c r="F17" s="15">
        <f>IF($A17="","",SUMIF(VENDAS!$B:$B,$A17,VENDAS!$D:$D))</f>
        <v/>
      </c>
      <c r="G17" s="16">
        <f>IF($A17="","",SUMIF(COMPRAS!$B:$B,$A17,COMPRAS!$F:$F))</f>
        <v/>
      </c>
      <c r="H17" s="16">
        <f>IF($A17="","",SUMIF(VENDAS!$B:$B,$A17,VENDAS!$E:$E))</f>
        <v/>
      </c>
      <c r="I17" s="16">
        <f>IF($A17="","",H17-G17)</f>
        <v/>
      </c>
      <c r="J17" s="19">
        <f>IF($A17="","",SUMIF(COMPRAS!$B:$B,$A17,COMPRAS!$L:$L))</f>
        <v/>
      </c>
      <c r="K17" s="19">
        <f>IF($A17="","",SUMIF(VENDAS!$B:$B,$A17,VENDAS!$K:$K))</f>
        <v/>
      </c>
      <c r="L17" s="14">
        <f>IF($A17="","",IF(F17&gt;=E17,"FECHADO","ABERTO"))</f>
        <v/>
      </c>
      <c r="M17" s="19">
        <f>IF($A17="","",K17-J17)</f>
        <v/>
      </c>
    </row>
    <row r="18">
      <c r="A18" s="21" t="n"/>
      <c r="B18" s="20">
        <f>IF(OR($A18="",COUNTIF(COMPRAS!$B:$B,$A18)=0),"",MINIFS(COMPRAS!$A:$A,COMPRAS!$B:$B,$A18))</f>
        <v/>
      </c>
      <c r="C18" s="20">
        <f>IF(OR($A18="",COUNTIF(VENDAS!$B:$B,$A18)=0),"",MAXIFS(VENDAS!$A:$A,VENDAS!$B:$B,$A18))</f>
        <v/>
      </c>
      <c r="D18" s="22">
        <f>IF(OR($A18="",B18=""),"",IF(C18="",TODAY()-B18,C18-B18))</f>
        <v/>
      </c>
      <c r="E18" s="22">
        <f>IF($A18="","",SUMIF(COMPRAS!$B:$B,$A18,COMPRAS!$E:$E))</f>
        <v/>
      </c>
      <c r="F18" s="22">
        <f>IF($A18="","",SUMIF(VENDAS!$B:$B,$A18,VENDAS!$D:$D))</f>
        <v/>
      </c>
      <c r="G18" s="23">
        <f>IF($A18="","",SUMIF(COMPRAS!$B:$B,$A18,COMPRAS!$F:$F))</f>
        <v/>
      </c>
      <c r="H18" s="23">
        <f>IF($A18="","",SUMIF(VENDAS!$B:$B,$A18,VENDAS!$E:$E))</f>
        <v/>
      </c>
      <c r="I18" s="23">
        <f>IF($A18="","",H18-G18)</f>
        <v/>
      </c>
      <c r="J18" s="26">
        <f>IF($A18="","",SUMIF(COMPRAS!$B:$B,$A18,COMPRAS!$L:$L))</f>
        <v/>
      </c>
      <c r="K18" s="26">
        <f>IF($A18="","",SUMIF(VENDAS!$B:$B,$A18,VENDAS!$K:$K))</f>
        <v/>
      </c>
      <c r="L18" s="21">
        <f>IF($A18="","",IF(F18&gt;=E18,"FECHADO","ABERTO"))</f>
        <v/>
      </c>
      <c r="M18" s="26">
        <f>IF($A18="","",K18-J18)</f>
        <v/>
      </c>
    </row>
    <row r="19">
      <c r="A19" s="14" t="n"/>
      <c r="B19" s="13">
        <f>IF(OR($A19="",COUNTIF(COMPRAS!$B:$B,$A19)=0),"",MINIFS(COMPRAS!$A:$A,COMPRAS!$B:$B,$A19))</f>
        <v/>
      </c>
      <c r="C19" s="13">
        <f>IF(OR($A19="",COUNTIF(VENDAS!$B:$B,$A19)=0),"",MAXIFS(VENDAS!$A:$A,VENDAS!$B:$B,$A19))</f>
        <v/>
      </c>
      <c r="D19" s="15">
        <f>IF(OR($A19="",B19=""),"",IF(C19="",TODAY()-B19,C19-B19))</f>
        <v/>
      </c>
      <c r="E19" s="15">
        <f>IF($A19="","",SUMIF(COMPRAS!$B:$B,$A19,COMPRAS!$E:$E))</f>
        <v/>
      </c>
      <c r="F19" s="15">
        <f>IF($A19="","",SUMIF(VENDAS!$B:$B,$A19,VENDAS!$D:$D))</f>
        <v/>
      </c>
      <c r="G19" s="16">
        <f>IF($A19="","",SUMIF(COMPRAS!$B:$B,$A19,COMPRAS!$F:$F))</f>
        <v/>
      </c>
      <c r="H19" s="16">
        <f>IF($A19="","",SUMIF(VENDAS!$B:$B,$A19,VENDAS!$E:$E))</f>
        <v/>
      </c>
      <c r="I19" s="16">
        <f>IF($A19="","",H19-G19)</f>
        <v/>
      </c>
      <c r="J19" s="19">
        <f>IF($A19="","",SUMIF(COMPRAS!$B:$B,$A19,COMPRAS!$L:$L))</f>
        <v/>
      </c>
      <c r="K19" s="19">
        <f>IF($A19="","",SUMIF(VENDAS!$B:$B,$A19,VENDAS!$K:$K))</f>
        <v/>
      </c>
      <c r="L19" s="14">
        <f>IF($A19="","",IF(F19&gt;=E19,"FECHADO","ABERTO"))</f>
        <v/>
      </c>
      <c r="M19" s="19">
        <f>IF($A19="","",K19-J19)</f>
        <v/>
      </c>
    </row>
    <row r="20">
      <c r="A20" s="21" t="n"/>
      <c r="B20" s="20">
        <f>IF(OR($A20="",COUNTIF(COMPRAS!$B:$B,$A20)=0),"",MINIFS(COMPRAS!$A:$A,COMPRAS!$B:$B,$A20))</f>
        <v/>
      </c>
      <c r="C20" s="20">
        <f>IF(OR($A20="",COUNTIF(VENDAS!$B:$B,$A20)=0),"",MAXIFS(VENDAS!$A:$A,VENDAS!$B:$B,$A20))</f>
        <v/>
      </c>
      <c r="D20" s="22">
        <f>IF(OR($A20="",B20=""),"",IF(C20="",TODAY()-B20,C20-B20))</f>
        <v/>
      </c>
      <c r="E20" s="22">
        <f>IF($A20="","",SUMIF(COMPRAS!$B:$B,$A20,COMPRAS!$E:$E))</f>
        <v/>
      </c>
      <c r="F20" s="22">
        <f>IF($A20="","",SUMIF(VENDAS!$B:$B,$A20,VENDAS!$D:$D))</f>
        <v/>
      </c>
      <c r="G20" s="23">
        <f>IF($A20="","",SUMIF(COMPRAS!$B:$B,$A20,COMPRAS!$F:$F))</f>
        <v/>
      </c>
      <c r="H20" s="23">
        <f>IF($A20="","",SUMIF(VENDAS!$B:$B,$A20,VENDAS!$E:$E))</f>
        <v/>
      </c>
      <c r="I20" s="23">
        <f>IF($A20="","",H20-G20)</f>
        <v/>
      </c>
      <c r="J20" s="26">
        <f>IF($A20="","",SUMIF(COMPRAS!$B:$B,$A20,COMPRAS!$L:$L))</f>
        <v/>
      </c>
      <c r="K20" s="26">
        <f>IF($A20="","",SUMIF(VENDAS!$B:$B,$A20,VENDAS!$K:$K))</f>
        <v/>
      </c>
      <c r="L20" s="21">
        <f>IF($A20="","",IF(F20&gt;=E20,"FECHADO","ABERTO"))</f>
        <v/>
      </c>
      <c r="M20" s="26">
        <f>IF($A20="","",K20-J20)</f>
        <v/>
      </c>
    </row>
    <row r="21">
      <c r="A21" s="14" t="n"/>
      <c r="B21" s="13">
        <f>IF(OR($A21="",COUNTIF(COMPRAS!$B:$B,$A21)=0),"",MINIFS(COMPRAS!$A:$A,COMPRAS!$B:$B,$A21))</f>
        <v/>
      </c>
      <c r="C21" s="13">
        <f>IF(OR($A21="",COUNTIF(VENDAS!$B:$B,$A21)=0),"",MAXIFS(VENDAS!$A:$A,VENDAS!$B:$B,$A21))</f>
        <v/>
      </c>
      <c r="D21" s="15">
        <f>IF(OR($A21="",B21=""),"",IF(C21="",TODAY()-B21,C21-B21))</f>
        <v/>
      </c>
      <c r="E21" s="15">
        <f>IF($A21="","",SUMIF(COMPRAS!$B:$B,$A21,COMPRAS!$E:$E))</f>
        <v/>
      </c>
      <c r="F21" s="15">
        <f>IF($A21="","",SUMIF(VENDAS!$B:$B,$A21,VENDAS!$D:$D))</f>
        <v/>
      </c>
      <c r="G21" s="16">
        <f>IF($A21="","",SUMIF(COMPRAS!$B:$B,$A21,COMPRAS!$F:$F))</f>
        <v/>
      </c>
      <c r="H21" s="16">
        <f>IF($A21="","",SUMIF(VENDAS!$B:$B,$A21,VENDAS!$E:$E))</f>
        <v/>
      </c>
      <c r="I21" s="16">
        <f>IF($A21="","",H21-G21)</f>
        <v/>
      </c>
      <c r="J21" s="19">
        <f>IF($A21="","",SUMIF(COMPRAS!$B:$B,$A21,COMPRAS!$L:$L))</f>
        <v/>
      </c>
      <c r="K21" s="19">
        <f>IF($A21="","",SUMIF(VENDAS!$B:$B,$A21,VENDAS!$K:$K))</f>
        <v/>
      </c>
      <c r="L21" s="14">
        <f>IF($A21="","",IF(F21&gt;=E21,"FECHADO","ABERTO"))</f>
        <v/>
      </c>
      <c r="M21" s="19">
        <f>IF($A21="","",K21-J21)</f>
        <v/>
      </c>
    </row>
    <row r="22">
      <c r="A22" s="21" t="n"/>
      <c r="B22" s="20">
        <f>IF(OR($A22="",COUNTIF(COMPRAS!$B:$B,$A22)=0),"",MINIFS(COMPRAS!$A:$A,COMPRAS!$B:$B,$A22))</f>
        <v/>
      </c>
      <c r="C22" s="20">
        <f>IF(OR($A22="",COUNTIF(VENDAS!$B:$B,$A22)=0),"",MAXIFS(VENDAS!$A:$A,VENDAS!$B:$B,$A22))</f>
        <v/>
      </c>
      <c r="D22" s="22">
        <f>IF(OR($A22="",B22=""),"",IF(C22="",TODAY()-B22,C22-B22))</f>
        <v/>
      </c>
      <c r="E22" s="22">
        <f>IF($A22="","",SUMIF(COMPRAS!$B:$B,$A22,COMPRAS!$E:$E))</f>
        <v/>
      </c>
      <c r="F22" s="22">
        <f>IF($A22="","",SUMIF(VENDAS!$B:$B,$A22,VENDAS!$D:$D))</f>
        <v/>
      </c>
      <c r="G22" s="23">
        <f>IF($A22="","",SUMIF(COMPRAS!$B:$B,$A22,COMPRAS!$F:$F))</f>
        <v/>
      </c>
      <c r="H22" s="23">
        <f>IF($A22="","",SUMIF(VENDAS!$B:$B,$A22,VENDAS!$E:$E))</f>
        <v/>
      </c>
      <c r="I22" s="23">
        <f>IF($A22="","",H22-G22)</f>
        <v/>
      </c>
      <c r="J22" s="26">
        <f>IF($A22="","",SUMIF(COMPRAS!$B:$B,$A22,COMPRAS!$L:$L))</f>
        <v/>
      </c>
      <c r="K22" s="26">
        <f>IF($A22="","",SUMIF(VENDAS!$B:$B,$A22,VENDAS!$K:$K))</f>
        <v/>
      </c>
      <c r="L22" s="21">
        <f>IF($A22="","",IF(F22&gt;=E22,"FECHADO","ABERTO"))</f>
        <v/>
      </c>
      <c r="M22" s="26">
        <f>IF($A22="","",K22-J22)</f>
        <v/>
      </c>
    </row>
    <row r="23">
      <c r="A23" s="14" t="n"/>
      <c r="B23" s="13">
        <f>IF(OR($A23="",COUNTIF(COMPRAS!$B:$B,$A23)=0),"",MINIFS(COMPRAS!$A:$A,COMPRAS!$B:$B,$A23))</f>
        <v/>
      </c>
      <c r="C23" s="13">
        <f>IF(OR($A23="",COUNTIF(VENDAS!$B:$B,$A23)=0),"",MAXIFS(VENDAS!$A:$A,VENDAS!$B:$B,$A23))</f>
        <v/>
      </c>
      <c r="D23" s="15">
        <f>IF(OR($A23="",B23=""),"",IF(C23="",TODAY()-B23,C23-B23))</f>
        <v/>
      </c>
      <c r="E23" s="15">
        <f>IF($A23="","",SUMIF(COMPRAS!$B:$B,$A23,COMPRAS!$E:$E))</f>
        <v/>
      </c>
      <c r="F23" s="15">
        <f>IF($A23="","",SUMIF(VENDAS!$B:$B,$A23,VENDAS!$D:$D))</f>
        <v/>
      </c>
      <c r="G23" s="16">
        <f>IF($A23="","",SUMIF(COMPRAS!$B:$B,$A23,COMPRAS!$F:$F))</f>
        <v/>
      </c>
      <c r="H23" s="16">
        <f>IF($A23="","",SUMIF(VENDAS!$B:$B,$A23,VENDAS!$E:$E))</f>
        <v/>
      </c>
      <c r="I23" s="16">
        <f>IF($A23="","",H23-G23)</f>
        <v/>
      </c>
      <c r="J23" s="19">
        <f>IF($A23="","",SUMIF(COMPRAS!$B:$B,$A23,COMPRAS!$L:$L))</f>
        <v/>
      </c>
      <c r="K23" s="19">
        <f>IF($A23="","",SUMIF(VENDAS!$B:$B,$A23,VENDAS!$K:$K))</f>
        <v/>
      </c>
      <c r="L23" s="14">
        <f>IF($A23="","",IF(F23&gt;=E23,"FECHADO","ABERTO"))</f>
        <v/>
      </c>
      <c r="M23" s="19">
        <f>IF($A23="","",K23-J23)</f>
        <v/>
      </c>
    </row>
    <row r="24">
      <c r="A24" s="21" t="n"/>
      <c r="B24" s="20">
        <f>IF(OR($A24="",COUNTIF(COMPRAS!$B:$B,$A24)=0),"",MINIFS(COMPRAS!$A:$A,COMPRAS!$B:$B,$A24))</f>
        <v/>
      </c>
      <c r="C24" s="20">
        <f>IF(OR($A24="",COUNTIF(VENDAS!$B:$B,$A24)=0),"",MAXIFS(VENDAS!$A:$A,VENDAS!$B:$B,$A24))</f>
        <v/>
      </c>
      <c r="D24" s="22">
        <f>IF(OR($A24="",B24=""),"",IF(C24="",TODAY()-B24,C24-B24))</f>
        <v/>
      </c>
      <c r="E24" s="22">
        <f>IF($A24="","",SUMIF(COMPRAS!$B:$B,$A24,COMPRAS!$E:$E))</f>
        <v/>
      </c>
      <c r="F24" s="22">
        <f>IF($A24="","",SUMIF(VENDAS!$B:$B,$A24,VENDAS!$D:$D))</f>
        <v/>
      </c>
      <c r="G24" s="23">
        <f>IF($A24="","",SUMIF(COMPRAS!$B:$B,$A24,COMPRAS!$F:$F))</f>
        <v/>
      </c>
      <c r="H24" s="23">
        <f>IF($A24="","",SUMIF(VENDAS!$B:$B,$A24,VENDAS!$E:$E))</f>
        <v/>
      </c>
      <c r="I24" s="23">
        <f>IF($A24="","",H24-G24)</f>
        <v/>
      </c>
      <c r="J24" s="26">
        <f>IF($A24="","",SUMIF(COMPRAS!$B:$B,$A24,COMPRAS!$L:$L))</f>
        <v/>
      </c>
      <c r="K24" s="26">
        <f>IF($A24="","",SUMIF(VENDAS!$B:$B,$A24,VENDAS!$K:$K))</f>
        <v/>
      </c>
      <c r="L24" s="21">
        <f>IF($A24="","",IF(F24&gt;=E24,"FECHADO","ABERTO"))</f>
        <v/>
      </c>
      <c r="M24" s="26">
        <f>IF($A24="","",K24-J24)</f>
        <v/>
      </c>
    </row>
    <row r="25">
      <c r="A25" s="14" t="n"/>
      <c r="B25" s="13">
        <f>IF(OR($A25="",COUNTIF(COMPRAS!$B:$B,$A25)=0),"",MINIFS(COMPRAS!$A:$A,COMPRAS!$B:$B,$A25))</f>
        <v/>
      </c>
      <c r="C25" s="13">
        <f>IF(OR($A25="",COUNTIF(VENDAS!$B:$B,$A25)=0),"",MAXIFS(VENDAS!$A:$A,VENDAS!$B:$B,$A25))</f>
        <v/>
      </c>
      <c r="D25" s="15">
        <f>IF(OR($A25="",B25=""),"",IF(C25="",TODAY()-B25,C25-B25))</f>
        <v/>
      </c>
      <c r="E25" s="15">
        <f>IF($A25="","",SUMIF(COMPRAS!$B:$B,$A25,COMPRAS!$E:$E))</f>
        <v/>
      </c>
      <c r="F25" s="15">
        <f>IF($A25="","",SUMIF(VENDAS!$B:$B,$A25,VENDAS!$D:$D))</f>
        <v/>
      </c>
      <c r="G25" s="16">
        <f>IF($A25="","",SUMIF(COMPRAS!$B:$B,$A25,COMPRAS!$F:$F))</f>
        <v/>
      </c>
      <c r="H25" s="16">
        <f>IF($A25="","",SUMIF(VENDAS!$B:$B,$A25,VENDAS!$E:$E))</f>
        <v/>
      </c>
      <c r="I25" s="16">
        <f>IF($A25="","",H25-G25)</f>
        <v/>
      </c>
      <c r="J25" s="19">
        <f>IF($A25="","",SUMIF(COMPRAS!$B:$B,$A25,COMPRAS!$L:$L))</f>
        <v/>
      </c>
      <c r="K25" s="19">
        <f>IF($A25="","",SUMIF(VENDAS!$B:$B,$A25,VENDAS!$K:$K))</f>
        <v/>
      </c>
      <c r="L25" s="14">
        <f>IF($A25="","",IF(F25&gt;=E25,"FECHADO","ABERTO"))</f>
        <v/>
      </c>
      <c r="M25" s="19">
        <f>IF($A25="","",K25-J25)</f>
        <v/>
      </c>
    </row>
    <row r="26">
      <c r="A26" s="21" t="n"/>
      <c r="B26" s="20">
        <f>IF(OR($A26="",COUNTIF(COMPRAS!$B:$B,$A26)=0),"",MINIFS(COMPRAS!$A:$A,COMPRAS!$B:$B,$A26))</f>
        <v/>
      </c>
      <c r="C26" s="20">
        <f>IF(OR($A26="",COUNTIF(VENDAS!$B:$B,$A26)=0),"",MAXIFS(VENDAS!$A:$A,VENDAS!$B:$B,$A26))</f>
        <v/>
      </c>
      <c r="D26" s="22">
        <f>IF(OR($A26="",B26=""),"",IF(C26="",TODAY()-B26,C26-B26))</f>
        <v/>
      </c>
      <c r="E26" s="22">
        <f>IF($A26="","",SUMIF(COMPRAS!$B:$B,$A26,COMPRAS!$E:$E))</f>
        <v/>
      </c>
      <c r="F26" s="22">
        <f>IF($A26="","",SUMIF(VENDAS!$B:$B,$A26,VENDAS!$D:$D))</f>
        <v/>
      </c>
      <c r="G26" s="23">
        <f>IF($A26="","",SUMIF(COMPRAS!$B:$B,$A26,COMPRAS!$F:$F))</f>
        <v/>
      </c>
      <c r="H26" s="23">
        <f>IF($A26="","",SUMIF(VENDAS!$B:$B,$A26,VENDAS!$E:$E))</f>
        <v/>
      </c>
      <c r="I26" s="23">
        <f>IF($A26="","",H26-G26)</f>
        <v/>
      </c>
      <c r="J26" s="26">
        <f>IF($A26="","",SUMIF(COMPRAS!$B:$B,$A26,COMPRAS!$L:$L))</f>
        <v/>
      </c>
      <c r="K26" s="26">
        <f>IF($A26="","",SUMIF(VENDAS!$B:$B,$A26,VENDAS!$K:$K))</f>
        <v/>
      </c>
      <c r="L26" s="21">
        <f>IF($A26="","",IF(F26&gt;=E26,"FECHADO","ABERTO"))</f>
        <v/>
      </c>
      <c r="M26" s="26">
        <f>IF($A26="","",K26-J26)</f>
        <v/>
      </c>
    </row>
    <row r="27">
      <c r="A27" s="14" t="n"/>
      <c r="B27" s="13">
        <f>IF(OR($A27="",COUNTIF(COMPRAS!$B:$B,$A27)=0),"",MINIFS(COMPRAS!$A:$A,COMPRAS!$B:$B,$A27))</f>
        <v/>
      </c>
      <c r="C27" s="13">
        <f>IF(OR($A27="",COUNTIF(VENDAS!$B:$B,$A27)=0),"",MAXIFS(VENDAS!$A:$A,VENDAS!$B:$B,$A27))</f>
        <v/>
      </c>
      <c r="D27" s="15">
        <f>IF(OR($A27="",B27=""),"",IF(C27="",TODAY()-B27,C27-B27))</f>
        <v/>
      </c>
      <c r="E27" s="15">
        <f>IF($A27="","",SUMIF(COMPRAS!$B:$B,$A27,COMPRAS!$E:$E))</f>
        <v/>
      </c>
      <c r="F27" s="15">
        <f>IF($A27="","",SUMIF(VENDAS!$B:$B,$A27,VENDAS!$D:$D))</f>
        <v/>
      </c>
      <c r="G27" s="16">
        <f>IF($A27="","",SUMIF(COMPRAS!$B:$B,$A27,COMPRAS!$F:$F))</f>
        <v/>
      </c>
      <c r="H27" s="16">
        <f>IF($A27="","",SUMIF(VENDAS!$B:$B,$A27,VENDAS!$E:$E))</f>
        <v/>
      </c>
      <c r="I27" s="16">
        <f>IF($A27="","",H27-G27)</f>
        <v/>
      </c>
      <c r="J27" s="19">
        <f>IF($A27="","",SUMIF(COMPRAS!$B:$B,$A27,COMPRAS!$L:$L))</f>
        <v/>
      </c>
      <c r="K27" s="19">
        <f>IF($A27="","",SUMIF(VENDAS!$B:$B,$A27,VENDAS!$K:$K))</f>
        <v/>
      </c>
      <c r="L27" s="14">
        <f>IF($A27="","",IF(F27&gt;=E27,"FECHADO","ABERTO"))</f>
        <v/>
      </c>
      <c r="M27" s="19">
        <f>IF($A27="","",K27-J27)</f>
        <v/>
      </c>
    </row>
    <row r="28">
      <c r="A28" s="21" t="n"/>
      <c r="B28" s="20">
        <f>IF(OR($A28="",COUNTIF(COMPRAS!$B:$B,$A28)=0),"",MINIFS(COMPRAS!$A:$A,COMPRAS!$B:$B,$A28))</f>
        <v/>
      </c>
      <c r="C28" s="20">
        <f>IF(OR($A28="",COUNTIF(VENDAS!$B:$B,$A28)=0),"",MAXIFS(VENDAS!$A:$A,VENDAS!$B:$B,$A28))</f>
        <v/>
      </c>
      <c r="D28" s="22">
        <f>IF(OR($A28="",B28=""),"",IF(C28="",TODAY()-B28,C28-B28))</f>
        <v/>
      </c>
      <c r="E28" s="22">
        <f>IF($A28="","",SUMIF(COMPRAS!$B:$B,$A28,COMPRAS!$E:$E))</f>
        <v/>
      </c>
      <c r="F28" s="22">
        <f>IF($A28="","",SUMIF(VENDAS!$B:$B,$A28,VENDAS!$D:$D))</f>
        <v/>
      </c>
      <c r="G28" s="23">
        <f>IF($A28="","",SUMIF(COMPRAS!$B:$B,$A28,COMPRAS!$F:$F))</f>
        <v/>
      </c>
      <c r="H28" s="23">
        <f>IF($A28="","",SUMIF(VENDAS!$B:$B,$A28,VENDAS!$E:$E))</f>
        <v/>
      </c>
      <c r="I28" s="23">
        <f>IF($A28="","",H28-G28)</f>
        <v/>
      </c>
      <c r="J28" s="26">
        <f>IF($A28="","",SUMIF(COMPRAS!$B:$B,$A28,COMPRAS!$L:$L))</f>
        <v/>
      </c>
      <c r="K28" s="26">
        <f>IF($A28="","",SUMIF(VENDAS!$B:$B,$A28,VENDAS!$K:$K))</f>
        <v/>
      </c>
      <c r="L28" s="21">
        <f>IF($A28="","",IF(F28&gt;=E28,"FECHADO","ABERTO"))</f>
        <v/>
      </c>
      <c r="M28" s="26">
        <f>IF($A28="","",K28-J28)</f>
        <v/>
      </c>
    </row>
    <row r="29">
      <c r="A29" s="14" t="n"/>
      <c r="B29" s="13">
        <f>IF(OR($A29="",COUNTIF(COMPRAS!$B:$B,$A29)=0),"",MINIFS(COMPRAS!$A:$A,COMPRAS!$B:$B,$A29))</f>
        <v/>
      </c>
      <c r="C29" s="13">
        <f>IF(OR($A29="",COUNTIF(VENDAS!$B:$B,$A29)=0),"",MAXIFS(VENDAS!$A:$A,VENDAS!$B:$B,$A29))</f>
        <v/>
      </c>
      <c r="D29" s="15">
        <f>IF(OR($A29="",B29=""),"",IF(C29="",TODAY()-B29,C29-B29))</f>
        <v/>
      </c>
      <c r="E29" s="15">
        <f>IF($A29="","",SUMIF(COMPRAS!$B:$B,$A29,COMPRAS!$E:$E))</f>
        <v/>
      </c>
      <c r="F29" s="15">
        <f>IF($A29="","",SUMIF(VENDAS!$B:$B,$A29,VENDAS!$D:$D))</f>
        <v/>
      </c>
      <c r="G29" s="16">
        <f>IF($A29="","",SUMIF(COMPRAS!$B:$B,$A29,COMPRAS!$F:$F))</f>
        <v/>
      </c>
      <c r="H29" s="16">
        <f>IF($A29="","",SUMIF(VENDAS!$B:$B,$A29,VENDAS!$E:$E))</f>
        <v/>
      </c>
      <c r="I29" s="16">
        <f>IF($A29="","",H29-G29)</f>
        <v/>
      </c>
      <c r="J29" s="19">
        <f>IF($A29="","",SUMIF(COMPRAS!$B:$B,$A29,COMPRAS!$L:$L))</f>
        <v/>
      </c>
      <c r="K29" s="19">
        <f>IF($A29="","",SUMIF(VENDAS!$B:$B,$A29,VENDAS!$K:$K))</f>
        <v/>
      </c>
      <c r="L29" s="14">
        <f>IF($A29="","",IF(F29&gt;=E29,"FECHADO","ABERTO"))</f>
        <v/>
      </c>
      <c r="M29" s="19">
        <f>IF($A29="","",K29-J29)</f>
        <v/>
      </c>
    </row>
    <row r="30">
      <c r="A30" s="21" t="n"/>
      <c r="B30" s="20">
        <f>IF(OR($A30="",COUNTIF(COMPRAS!$B:$B,$A30)=0),"",MINIFS(COMPRAS!$A:$A,COMPRAS!$B:$B,$A30))</f>
        <v/>
      </c>
      <c r="C30" s="20">
        <f>IF(OR($A30="",COUNTIF(VENDAS!$B:$B,$A30)=0),"",MAXIFS(VENDAS!$A:$A,VENDAS!$B:$B,$A30))</f>
        <v/>
      </c>
      <c r="D30" s="22">
        <f>IF(OR($A30="",B30=""),"",IF(C30="",TODAY()-B30,C30-B30))</f>
        <v/>
      </c>
      <c r="E30" s="22">
        <f>IF($A30="","",SUMIF(COMPRAS!$B:$B,$A30,COMPRAS!$E:$E))</f>
        <v/>
      </c>
      <c r="F30" s="22">
        <f>IF($A30="","",SUMIF(VENDAS!$B:$B,$A30,VENDAS!$D:$D))</f>
        <v/>
      </c>
      <c r="G30" s="23">
        <f>IF($A30="","",SUMIF(COMPRAS!$B:$B,$A30,COMPRAS!$F:$F))</f>
        <v/>
      </c>
      <c r="H30" s="23">
        <f>IF($A30="","",SUMIF(VENDAS!$B:$B,$A30,VENDAS!$E:$E))</f>
        <v/>
      </c>
      <c r="I30" s="23">
        <f>IF($A30="","",H30-G30)</f>
        <v/>
      </c>
      <c r="J30" s="26">
        <f>IF($A30="","",SUMIF(COMPRAS!$B:$B,$A30,COMPRAS!$L:$L))</f>
        <v/>
      </c>
      <c r="K30" s="26">
        <f>IF($A30="","",SUMIF(VENDAS!$B:$B,$A30,VENDAS!$K:$K))</f>
        <v/>
      </c>
      <c r="L30" s="21">
        <f>IF($A30="","",IF(F30&gt;=E30,"FECHADO","ABERTO"))</f>
        <v/>
      </c>
      <c r="M30" s="26">
        <f>IF($A30="","",K30-J30)</f>
        <v/>
      </c>
    </row>
    <row r="31">
      <c r="A31" s="14" t="n"/>
      <c r="B31" s="13">
        <f>IF(OR($A31="",COUNTIF(COMPRAS!$B:$B,$A31)=0),"",MINIFS(COMPRAS!$A:$A,COMPRAS!$B:$B,$A31))</f>
        <v/>
      </c>
      <c r="C31" s="13">
        <f>IF(OR($A31="",COUNTIF(VENDAS!$B:$B,$A31)=0),"",MAXIFS(VENDAS!$A:$A,VENDAS!$B:$B,$A31))</f>
        <v/>
      </c>
      <c r="D31" s="15">
        <f>IF(OR($A31="",B31=""),"",IF(C31="",TODAY()-B31,C31-B31))</f>
        <v/>
      </c>
      <c r="E31" s="15">
        <f>IF($A31="","",SUMIF(COMPRAS!$B:$B,$A31,COMPRAS!$E:$E))</f>
        <v/>
      </c>
      <c r="F31" s="15">
        <f>IF($A31="","",SUMIF(VENDAS!$B:$B,$A31,VENDAS!$D:$D))</f>
        <v/>
      </c>
      <c r="G31" s="16">
        <f>IF($A31="","",SUMIF(COMPRAS!$B:$B,$A31,COMPRAS!$F:$F))</f>
        <v/>
      </c>
      <c r="H31" s="16">
        <f>IF($A31="","",SUMIF(VENDAS!$B:$B,$A31,VENDAS!$E:$E))</f>
        <v/>
      </c>
      <c r="I31" s="16">
        <f>IF($A31="","",H31-G31)</f>
        <v/>
      </c>
      <c r="J31" s="19">
        <f>IF($A31="","",SUMIF(COMPRAS!$B:$B,$A31,COMPRAS!$L:$L))</f>
        <v/>
      </c>
      <c r="K31" s="19">
        <f>IF($A31="","",SUMIF(VENDAS!$B:$B,$A31,VENDAS!$K:$K))</f>
        <v/>
      </c>
      <c r="L31" s="14">
        <f>IF($A31="","",IF(F31&gt;=E31,"FECHADO","ABERTO"))</f>
        <v/>
      </c>
      <c r="M31" s="19">
        <f>IF($A31="","",K31-J31)</f>
        <v/>
      </c>
    </row>
    <row r="32">
      <c r="A32" s="21" t="n"/>
      <c r="B32" s="20">
        <f>IF(OR($A32="",COUNTIF(COMPRAS!$B:$B,$A32)=0),"",MINIFS(COMPRAS!$A:$A,COMPRAS!$B:$B,$A32))</f>
        <v/>
      </c>
      <c r="C32" s="20">
        <f>IF(OR($A32="",COUNTIF(VENDAS!$B:$B,$A32)=0),"",MAXIFS(VENDAS!$A:$A,VENDAS!$B:$B,$A32))</f>
        <v/>
      </c>
      <c r="D32" s="22">
        <f>IF(OR($A32="",B32=""),"",IF(C32="",TODAY()-B32,C32-B32))</f>
        <v/>
      </c>
      <c r="E32" s="22">
        <f>IF($A32="","",SUMIF(COMPRAS!$B:$B,$A32,COMPRAS!$E:$E))</f>
        <v/>
      </c>
      <c r="F32" s="22">
        <f>IF($A32="","",SUMIF(VENDAS!$B:$B,$A32,VENDAS!$D:$D))</f>
        <v/>
      </c>
      <c r="G32" s="23">
        <f>IF($A32="","",SUMIF(COMPRAS!$B:$B,$A32,COMPRAS!$F:$F))</f>
        <v/>
      </c>
      <c r="H32" s="23">
        <f>IF($A32="","",SUMIF(VENDAS!$B:$B,$A32,VENDAS!$E:$E))</f>
        <v/>
      </c>
      <c r="I32" s="23">
        <f>IF($A32="","",H32-G32)</f>
        <v/>
      </c>
      <c r="J32" s="26">
        <f>IF($A32="","",SUMIF(COMPRAS!$B:$B,$A32,COMPRAS!$L:$L))</f>
        <v/>
      </c>
      <c r="K32" s="26">
        <f>IF($A32="","",SUMIF(VENDAS!$B:$B,$A32,VENDAS!$K:$K))</f>
        <v/>
      </c>
      <c r="L32" s="21">
        <f>IF($A32="","",IF(F32&gt;=E32,"FECHADO","ABERTO"))</f>
        <v/>
      </c>
      <c r="M32" s="26">
        <f>IF($A32="","",K32-J32)</f>
        <v/>
      </c>
    </row>
    <row r="33">
      <c r="A33" s="14" t="n"/>
      <c r="B33" s="13">
        <f>IF(OR($A33="",COUNTIF(COMPRAS!$B:$B,$A33)=0),"",MINIFS(COMPRAS!$A:$A,COMPRAS!$B:$B,$A33))</f>
        <v/>
      </c>
      <c r="C33" s="13">
        <f>IF(OR($A33="",COUNTIF(VENDAS!$B:$B,$A33)=0),"",MAXIFS(VENDAS!$A:$A,VENDAS!$B:$B,$A33))</f>
        <v/>
      </c>
      <c r="D33" s="15">
        <f>IF(OR($A33="",B33=""),"",IF(C33="",TODAY()-B33,C33-B33))</f>
        <v/>
      </c>
      <c r="E33" s="15">
        <f>IF($A33="","",SUMIF(COMPRAS!$B:$B,$A33,COMPRAS!$E:$E))</f>
        <v/>
      </c>
      <c r="F33" s="15">
        <f>IF($A33="","",SUMIF(VENDAS!$B:$B,$A33,VENDAS!$D:$D))</f>
        <v/>
      </c>
      <c r="G33" s="16">
        <f>IF($A33="","",SUMIF(COMPRAS!$B:$B,$A33,COMPRAS!$F:$F))</f>
        <v/>
      </c>
      <c r="H33" s="16">
        <f>IF($A33="","",SUMIF(VENDAS!$B:$B,$A33,VENDAS!$E:$E))</f>
        <v/>
      </c>
      <c r="I33" s="16">
        <f>IF($A33="","",H33-G33)</f>
        <v/>
      </c>
      <c r="J33" s="19">
        <f>IF($A33="","",SUMIF(COMPRAS!$B:$B,$A33,COMPRAS!$L:$L))</f>
        <v/>
      </c>
      <c r="K33" s="19">
        <f>IF($A33="","",SUMIF(VENDAS!$B:$B,$A33,VENDAS!$K:$K))</f>
        <v/>
      </c>
      <c r="L33" s="14">
        <f>IF($A33="","",IF(F33&gt;=E33,"FECHADO","ABERTO"))</f>
        <v/>
      </c>
      <c r="M33" s="19">
        <f>IF($A33="","",K33-J33)</f>
        <v/>
      </c>
    </row>
    <row r="34">
      <c r="A34" s="21" t="n"/>
      <c r="B34" s="20">
        <f>IF(OR($A34="",COUNTIF(COMPRAS!$B:$B,$A34)=0),"",MINIFS(COMPRAS!$A:$A,COMPRAS!$B:$B,$A34))</f>
        <v/>
      </c>
      <c r="C34" s="20">
        <f>IF(OR($A34="",COUNTIF(VENDAS!$B:$B,$A34)=0),"",MAXIFS(VENDAS!$A:$A,VENDAS!$B:$B,$A34))</f>
        <v/>
      </c>
      <c r="D34" s="22">
        <f>IF(OR($A34="",B34=""),"",IF(C34="",TODAY()-B34,C34-B34))</f>
        <v/>
      </c>
      <c r="E34" s="22">
        <f>IF($A34="","",SUMIF(COMPRAS!$B:$B,$A34,COMPRAS!$E:$E))</f>
        <v/>
      </c>
      <c r="F34" s="22">
        <f>IF($A34="","",SUMIF(VENDAS!$B:$B,$A34,VENDAS!$D:$D))</f>
        <v/>
      </c>
      <c r="G34" s="23">
        <f>IF($A34="","",SUMIF(COMPRAS!$B:$B,$A34,COMPRAS!$F:$F))</f>
        <v/>
      </c>
      <c r="H34" s="23">
        <f>IF($A34="","",SUMIF(VENDAS!$B:$B,$A34,VENDAS!$E:$E))</f>
        <v/>
      </c>
      <c r="I34" s="23">
        <f>IF($A34="","",H34-G34)</f>
        <v/>
      </c>
      <c r="J34" s="26">
        <f>IF($A34="","",SUMIF(COMPRAS!$B:$B,$A34,COMPRAS!$L:$L))</f>
        <v/>
      </c>
      <c r="K34" s="26">
        <f>IF($A34="","",SUMIF(VENDAS!$B:$B,$A34,VENDAS!$K:$K))</f>
        <v/>
      </c>
      <c r="L34" s="21">
        <f>IF($A34="","",IF(F34&gt;=E34,"FECHADO","ABERTO"))</f>
        <v/>
      </c>
      <c r="M34" s="26">
        <f>IF($A34="","",K34-J34)</f>
        <v/>
      </c>
    </row>
    <row r="35">
      <c r="A35" s="14" t="n"/>
      <c r="B35" s="13">
        <f>IF(OR($A35="",COUNTIF(COMPRAS!$B:$B,$A35)=0),"",MINIFS(COMPRAS!$A:$A,COMPRAS!$B:$B,$A35))</f>
        <v/>
      </c>
      <c r="C35" s="13">
        <f>IF(OR($A35="",COUNTIF(VENDAS!$B:$B,$A35)=0),"",MAXIFS(VENDAS!$A:$A,VENDAS!$B:$B,$A35))</f>
        <v/>
      </c>
      <c r="D35" s="15">
        <f>IF(OR($A35="",B35=""),"",IF(C35="",TODAY()-B35,C35-B35))</f>
        <v/>
      </c>
      <c r="E35" s="15">
        <f>IF($A35="","",SUMIF(COMPRAS!$B:$B,$A35,COMPRAS!$E:$E))</f>
        <v/>
      </c>
      <c r="F35" s="15">
        <f>IF($A35="","",SUMIF(VENDAS!$B:$B,$A35,VENDAS!$D:$D))</f>
        <v/>
      </c>
      <c r="G35" s="16">
        <f>IF($A35="","",SUMIF(COMPRAS!$B:$B,$A35,COMPRAS!$F:$F))</f>
        <v/>
      </c>
      <c r="H35" s="16">
        <f>IF($A35="","",SUMIF(VENDAS!$B:$B,$A35,VENDAS!$E:$E))</f>
        <v/>
      </c>
      <c r="I35" s="16">
        <f>IF($A35="","",H35-G35)</f>
        <v/>
      </c>
      <c r="J35" s="19">
        <f>IF($A35="","",SUMIF(COMPRAS!$B:$B,$A35,COMPRAS!$L:$L))</f>
        <v/>
      </c>
      <c r="K35" s="19">
        <f>IF($A35="","",SUMIF(VENDAS!$B:$B,$A35,VENDAS!$K:$K))</f>
        <v/>
      </c>
      <c r="L35" s="14">
        <f>IF($A35="","",IF(F35&gt;=E35,"FECHADO","ABERTO"))</f>
        <v/>
      </c>
      <c r="M35" s="19">
        <f>IF($A35="","",K35-J35)</f>
        <v/>
      </c>
    </row>
    <row r="36">
      <c r="A36" s="21" t="n"/>
      <c r="B36" s="20">
        <f>IF(OR($A36="",COUNTIF(COMPRAS!$B:$B,$A36)=0),"",MINIFS(COMPRAS!$A:$A,COMPRAS!$B:$B,$A36))</f>
        <v/>
      </c>
      <c r="C36" s="20">
        <f>IF(OR($A36="",COUNTIF(VENDAS!$B:$B,$A36)=0),"",MAXIFS(VENDAS!$A:$A,VENDAS!$B:$B,$A36))</f>
        <v/>
      </c>
      <c r="D36" s="22">
        <f>IF(OR($A36="",B36=""),"",IF(C36="",TODAY()-B36,C36-B36))</f>
        <v/>
      </c>
      <c r="E36" s="22">
        <f>IF($A36="","",SUMIF(COMPRAS!$B:$B,$A36,COMPRAS!$E:$E))</f>
        <v/>
      </c>
      <c r="F36" s="22">
        <f>IF($A36="","",SUMIF(VENDAS!$B:$B,$A36,VENDAS!$D:$D))</f>
        <v/>
      </c>
      <c r="G36" s="23">
        <f>IF($A36="","",SUMIF(COMPRAS!$B:$B,$A36,COMPRAS!$F:$F))</f>
        <v/>
      </c>
      <c r="H36" s="23">
        <f>IF($A36="","",SUMIF(VENDAS!$B:$B,$A36,VENDAS!$E:$E))</f>
        <v/>
      </c>
      <c r="I36" s="23">
        <f>IF($A36="","",H36-G36)</f>
        <v/>
      </c>
      <c r="J36" s="26">
        <f>IF($A36="","",SUMIF(COMPRAS!$B:$B,$A36,COMPRAS!$L:$L))</f>
        <v/>
      </c>
      <c r="K36" s="26">
        <f>IF($A36="","",SUMIF(VENDAS!$B:$B,$A36,VENDAS!$K:$K))</f>
        <v/>
      </c>
      <c r="L36" s="21">
        <f>IF($A36="","",IF(F36&gt;=E36,"FECHADO","ABERTO"))</f>
        <v/>
      </c>
      <c r="M36" s="26">
        <f>IF($A36="","",K36-J36)</f>
        <v/>
      </c>
    </row>
    <row r="37">
      <c r="A37" s="14" t="n"/>
      <c r="B37" s="13">
        <f>IF(OR($A37="",COUNTIF(COMPRAS!$B:$B,$A37)=0),"",MINIFS(COMPRAS!$A:$A,COMPRAS!$B:$B,$A37))</f>
        <v/>
      </c>
      <c r="C37" s="13">
        <f>IF(OR($A37="",COUNTIF(VENDAS!$B:$B,$A37)=0),"",MAXIFS(VENDAS!$A:$A,VENDAS!$B:$B,$A37))</f>
        <v/>
      </c>
      <c r="D37" s="15">
        <f>IF(OR($A37="",B37=""),"",IF(C37="",TODAY()-B37,C37-B37))</f>
        <v/>
      </c>
      <c r="E37" s="15">
        <f>IF($A37="","",SUMIF(COMPRAS!$B:$B,$A37,COMPRAS!$E:$E))</f>
        <v/>
      </c>
      <c r="F37" s="15">
        <f>IF($A37="","",SUMIF(VENDAS!$B:$B,$A37,VENDAS!$D:$D))</f>
        <v/>
      </c>
      <c r="G37" s="16">
        <f>IF($A37="","",SUMIF(COMPRAS!$B:$B,$A37,COMPRAS!$F:$F))</f>
        <v/>
      </c>
      <c r="H37" s="16">
        <f>IF($A37="","",SUMIF(VENDAS!$B:$B,$A37,VENDAS!$E:$E))</f>
        <v/>
      </c>
      <c r="I37" s="16">
        <f>IF($A37="","",H37-G37)</f>
        <v/>
      </c>
      <c r="J37" s="19">
        <f>IF($A37="","",SUMIF(COMPRAS!$B:$B,$A37,COMPRAS!$L:$L))</f>
        <v/>
      </c>
      <c r="K37" s="19">
        <f>IF($A37="","",SUMIF(VENDAS!$B:$B,$A37,VENDAS!$K:$K))</f>
        <v/>
      </c>
      <c r="L37" s="14">
        <f>IF($A37="","",IF(F37&gt;=E37,"FECHADO","ABERTO"))</f>
        <v/>
      </c>
      <c r="M37" s="19">
        <f>IF($A37="","",K37-J37)</f>
        <v/>
      </c>
    </row>
    <row r="38">
      <c r="A38" s="21" t="n"/>
      <c r="B38" s="20">
        <f>IF(OR($A38="",COUNTIF(COMPRAS!$B:$B,$A38)=0),"",MINIFS(COMPRAS!$A:$A,COMPRAS!$B:$B,$A38))</f>
        <v/>
      </c>
      <c r="C38" s="20">
        <f>IF(OR($A38="",COUNTIF(VENDAS!$B:$B,$A38)=0),"",MAXIFS(VENDAS!$A:$A,VENDAS!$B:$B,$A38))</f>
        <v/>
      </c>
      <c r="D38" s="22">
        <f>IF(OR($A38="",B38=""),"",IF(C38="",TODAY()-B38,C38-B38))</f>
        <v/>
      </c>
      <c r="E38" s="22">
        <f>IF($A38="","",SUMIF(COMPRAS!$B:$B,$A38,COMPRAS!$E:$E))</f>
        <v/>
      </c>
      <c r="F38" s="22">
        <f>IF($A38="","",SUMIF(VENDAS!$B:$B,$A38,VENDAS!$D:$D))</f>
        <v/>
      </c>
      <c r="G38" s="23">
        <f>IF($A38="","",SUMIF(COMPRAS!$B:$B,$A38,COMPRAS!$F:$F))</f>
        <v/>
      </c>
      <c r="H38" s="23">
        <f>IF($A38="","",SUMIF(VENDAS!$B:$B,$A38,VENDAS!$E:$E))</f>
        <v/>
      </c>
      <c r="I38" s="23">
        <f>IF($A38="","",H38-G38)</f>
        <v/>
      </c>
      <c r="J38" s="26">
        <f>IF($A38="","",SUMIF(COMPRAS!$B:$B,$A38,COMPRAS!$L:$L))</f>
        <v/>
      </c>
      <c r="K38" s="26">
        <f>IF($A38="","",SUMIF(VENDAS!$B:$B,$A38,VENDAS!$K:$K))</f>
        <v/>
      </c>
      <c r="L38" s="21">
        <f>IF($A38="","",IF(F38&gt;=E38,"FECHADO","ABERTO"))</f>
        <v/>
      </c>
      <c r="M38" s="26">
        <f>IF($A38="","",K38-J38)</f>
        <v/>
      </c>
    </row>
    <row r="39">
      <c r="A39" s="14" t="n"/>
      <c r="B39" s="13">
        <f>IF(OR($A39="",COUNTIF(COMPRAS!$B:$B,$A39)=0),"",MINIFS(COMPRAS!$A:$A,COMPRAS!$B:$B,$A39))</f>
        <v/>
      </c>
      <c r="C39" s="13">
        <f>IF(OR($A39="",COUNTIF(VENDAS!$B:$B,$A39)=0),"",MAXIFS(VENDAS!$A:$A,VENDAS!$B:$B,$A39))</f>
        <v/>
      </c>
      <c r="D39" s="15">
        <f>IF(OR($A39="",B39=""),"",IF(C39="",TODAY()-B39,C39-B39))</f>
        <v/>
      </c>
      <c r="E39" s="15">
        <f>IF($A39="","",SUMIF(COMPRAS!$B:$B,$A39,COMPRAS!$E:$E))</f>
        <v/>
      </c>
      <c r="F39" s="15">
        <f>IF($A39="","",SUMIF(VENDAS!$B:$B,$A39,VENDAS!$D:$D))</f>
        <v/>
      </c>
      <c r="G39" s="16">
        <f>IF($A39="","",SUMIF(COMPRAS!$B:$B,$A39,COMPRAS!$F:$F))</f>
        <v/>
      </c>
      <c r="H39" s="16">
        <f>IF($A39="","",SUMIF(VENDAS!$B:$B,$A39,VENDAS!$E:$E))</f>
        <v/>
      </c>
      <c r="I39" s="16">
        <f>IF($A39="","",H39-G39)</f>
        <v/>
      </c>
      <c r="J39" s="19">
        <f>IF($A39="","",SUMIF(COMPRAS!$B:$B,$A39,COMPRAS!$L:$L))</f>
        <v/>
      </c>
      <c r="K39" s="19">
        <f>IF($A39="","",SUMIF(VENDAS!$B:$B,$A39,VENDAS!$K:$K))</f>
        <v/>
      </c>
      <c r="L39" s="14">
        <f>IF($A39="","",IF(F39&gt;=E39,"FECHADO","ABERTO"))</f>
        <v/>
      </c>
      <c r="M39" s="19">
        <f>IF($A39="","",K39-J39)</f>
        <v/>
      </c>
    </row>
    <row r="40">
      <c r="A40" s="21" t="n"/>
      <c r="B40" s="20">
        <f>IF(OR($A40="",COUNTIF(COMPRAS!$B:$B,$A40)=0),"",MINIFS(COMPRAS!$A:$A,COMPRAS!$B:$B,$A40))</f>
        <v/>
      </c>
      <c r="C40" s="20">
        <f>IF(OR($A40="",COUNTIF(VENDAS!$B:$B,$A40)=0),"",MAXIFS(VENDAS!$A:$A,VENDAS!$B:$B,$A40))</f>
        <v/>
      </c>
      <c r="D40" s="22">
        <f>IF(OR($A40="",B40=""),"",IF(C40="",TODAY()-B40,C40-B40))</f>
        <v/>
      </c>
      <c r="E40" s="22">
        <f>IF($A40="","",SUMIF(COMPRAS!$B:$B,$A40,COMPRAS!$E:$E))</f>
        <v/>
      </c>
      <c r="F40" s="22">
        <f>IF($A40="","",SUMIF(VENDAS!$B:$B,$A40,VENDAS!$D:$D))</f>
        <v/>
      </c>
      <c r="G40" s="23">
        <f>IF($A40="","",SUMIF(COMPRAS!$B:$B,$A40,COMPRAS!$F:$F))</f>
        <v/>
      </c>
      <c r="H40" s="23">
        <f>IF($A40="","",SUMIF(VENDAS!$B:$B,$A40,VENDAS!$E:$E))</f>
        <v/>
      </c>
      <c r="I40" s="23">
        <f>IF($A40="","",H40-G40)</f>
        <v/>
      </c>
      <c r="J40" s="26">
        <f>IF($A40="","",SUMIF(COMPRAS!$B:$B,$A40,COMPRAS!$L:$L))</f>
        <v/>
      </c>
      <c r="K40" s="26">
        <f>IF($A40="","",SUMIF(VENDAS!$B:$B,$A40,VENDAS!$K:$K))</f>
        <v/>
      </c>
      <c r="L40" s="21">
        <f>IF($A40="","",IF(F40&gt;=E40,"FECHADO","ABERTO"))</f>
        <v/>
      </c>
      <c r="M40" s="26">
        <f>IF($A40="","",K40-J40)</f>
        <v/>
      </c>
    </row>
    <row r="41">
      <c r="A41" s="14" t="n"/>
      <c r="B41" s="13">
        <f>IF(OR($A41="",COUNTIF(COMPRAS!$B:$B,$A41)=0),"",MINIFS(COMPRAS!$A:$A,COMPRAS!$B:$B,$A41))</f>
        <v/>
      </c>
      <c r="C41" s="13">
        <f>IF(OR($A41="",COUNTIF(VENDAS!$B:$B,$A41)=0),"",MAXIFS(VENDAS!$A:$A,VENDAS!$B:$B,$A41))</f>
        <v/>
      </c>
      <c r="D41" s="15">
        <f>IF(OR($A41="",B41=""),"",IF(C41="",TODAY()-B41,C41-B41))</f>
        <v/>
      </c>
      <c r="E41" s="15">
        <f>IF($A41="","",SUMIF(COMPRAS!$B:$B,$A41,COMPRAS!$E:$E))</f>
        <v/>
      </c>
      <c r="F41" s="15">
        <f>IF($A41="","",SUMIF(VENDAS!$B:$B,$A41,VENDAS!$D:$D))</f>
        <v/>
      </c>
      <c r="G41" s="16">
        <f>IF($A41="","",SUMIF(COMPRAS!$B:$B,$A41,COMPRAS!$F:$F))</f>
        <v/>
      </c>
      <c r="H41" s="16">
        <f>IF($A41="","",SUMIF(VENDAS!$B:$B,$A41,VENDAS!$E:$E))</f>
        <v/>
      </c>
      <c r="I41" s="16">
        <f>IF($A41="","",H41-G41)</f>
        <v/>
      </c>
      <c r="J41" s="19">
        <f>IF($A41="","",SUMIF(COMPRAS!$B:$B,$A41,COMPRAS!$L:$L))</f>
        <v/>
      </c>
      <c r="K41" s="19">
        <f>IF($A41="","",SUMIF(VENDAS!$B:$B,$A41,VENDAS!$K:$K))</f>
        <v/>
      </c>
      <c r="L41" s="14">
        <f>IF($A41="","",IF(F41&gt;=E41,"FECHADO","ABERTO"))</f>
        <v/>
      </c>
      <c r="M41" s="19">
        <f>IF($A41="","",K41-J41)</f>
        <v/>
      </c>
    </row>
    <row r="42">
      <c r="A42" s="21" t="n"/>
      <c r="B42" s="20">
        <f>IF(OR($A42="",COUNTIF(COMPRAS!$B:$B,$A42)=0),"",MINIFS(COMPRAS!$A:$A,COMPRAS!$B:$B,$A42))</f>
        <v/>
      </c>
      <c r="C42" s="20">
        <f>IF(OR($A42="",COUNTIF(VENDAS!$B:$B,$A42)=0),"",MAXIFS(VENDAS!$A:$A,VENDAS!$B:$B,$A42))</f>
        <v/>
      </c>
      <c r="D42" s="22">
        <f>IF(OR($A42="",B42=""),"",IF(C42="",TODAY()-B42,C42-B42))</f>
        <v/>
      </c>
      <c r="E42" s="22">
        <f>IF($A42="","",SUMIF(COMPRAS!$B:$B,$A42,COMPRAS!$E:$E))</f>
        <v/>
      </c>
      <c r="F42" s="22">
        <f>IF($A42="","",SUMIF(VENDAS!$B:$B,$A42,VENDAS!$D:$D))</f>
        <v/>
      </c>
      <c r="G42" s="23">
        <f>IF($A42="","",SUMIF(COMPRAS!$B:$B,$A42,COMPRAS!$F:$F))</f>
        <v/>
      </c>
      <c r="H42" s="23">
        <f>IF($A42="","",SUMIF(VENDAS!$B:$B,$A42,VENDAS!$E:$E))</f>
        <v/>
      </c>
      <c r="I42" s="23">
        <f>IF($A42="","",H42-G42)</f>
        <v/>
      </c>
      <c r="J42" s="26">
        <f>IF($A42="","",SUMIF(COMPRAS!$B:$B,$A42,COMPRAS!$L:$L))</f>
        <v/>
      </c>
      <c r="K42" s="26">
        <f>IF($A42="","",SUMIF(VENDAS!$B:$B,$A42,VENDAS!$K:$K))</f>
        <v/>
      </c>
      <c r="L42" s="21">
        <f>IF($A42="","",IF(F42&gt;=E42,"FECHADO","ABERTO"))</f>
        <v/>
      </c>
      <c r="M42" s="26">
        <f>IF($A42="","",K42-J42)</f>
        <v/>
      </c>
    </row>
    <row r="43">
      <c r="A43" s="14" t="n"/>
      <c r="B43" s="13">
        <f>IF(OR($A43="",COUNTIF(COMPRAS!$B:$B,$A43)=0),"",MINIFS(COMPRAS!$A:$A,COMPRAS!$B:$B,$A43))</f>
        <v/>
      </c>
      <c r="C43" s="13">
        <f>IF(OR($A43="",COUNTIF(VENDAS!$B:$B,$A43)=0),"",MAXIFS(VENDAS!$A:$A,VENDAS!$B:$B,$A43))</f>
        <v/>
      </c>
      <c r="D43" s="15">
        <f>IF(OR($A43="",B43=""),"",IF(C43="",TODAY()-B43,C43-B43))</f>
        <v/>
      </c>
      <c r="E43" s="15">
        <f>IF($A43="","",SUMIF(COMPRAS!$B:$B,$A43,COMPRAS!$E:$E))</f>
        <v/>
      </c>
      <c r="F43" s="15">
        <f>IF($A43="","",SUMIF(VENDAS!$B:$B,$A43,VENDAS!$D:$D))</f>
        <v/>
      </c>
      <c r="G43" s="16">
        <f>IF($A43="","",SUMIF(COMPRAS!$B:$B,$A43,COMPRAS!$F:$F))</f>
        <v/>
      </c>
      <c r="H43" s="16">
        <f>IF($A43="","",SUMIF(VENDAS!$B:$B,$A43,VENDAS!$E:$E))</f>
        <v/>
      </c>
      <c r="I43" s="16">
        <f>IF($A43="","",H43-G43)</f>
        <v/>
      </c>
      <c r="J43" s="19">
        <f>IF($A43="","",SUMIF(COMPRAS!$B:$B,$A43,COMPRAS!$L:$L))</f>
        <v/>
      </c>
      <c r="K43" s="19">
        <f>IF($A43="","",SUMIF(VENDAS!$B:$B,$A43,VENDAS!$K:$K))</f>
        <v/>
      </c>
      <c r="L43" s="14">
        <f>IF($A43="","",IF(F43&gt;=E43,"FECHADO","ABERTO"))</f>
        <v/>
      </c>
      <c r="M43" s="19">
        <f>IF($A43="","",K43-J43)</f>
        <v/>
      </c>
    </row>
    <row r="44">
      <c r="A44" s="21" t="n"/>
      <c r="B44" s="20">
        <f>IF(OR($A44="",COUNTIF(COMPRAS!$B:$B,$A44)=0),"",MINIFS(COMPRAS!$A:$A,COMPRAS!$B:$B,$A44))</f>
        <v/>
      </c>
      <c r="C44" s="20">
        <f>IF(OR($A44="",COUNTIF(VENDAS!$B:$B,$A44)=0),"",MAXIFS(VENDAS!$A:$A,VENDAS!$B:$B,$A44))</f>
        <v/>
      </c>
      <c r="D44" s="22">
        <f>IF(OR($A44="",B44=""),"",IF(C44="",TODAY()-B44,C44-B44))</f>
        <v/>
      </c>
      <c r="E44" s="22">
        <f>IF($A44="","",SUMIF(COMPRAS!$B:$B,$A44,COMPRAS!$E:$E))</f>
        <v/>
      </c>
      <c r="F44" s="22">
        <f>IF($A44="","",SUMIF(VENDAS!$B:$B,$A44,VENDAS!$D:$D))</f>
        <v/>
      </c>
      <c r="G44" s="23">
        <f>IF($A44="","",SUMIF(COMPRAS!$B:$B,$A44,COMPRAS!$F:$F))</f>
        <v/>
      </c>
      <c r="H44" s="23">
        <f>IF($A44="","",SUMIF(VENDAS!$B:$B,$A44,VENDAS!$E:$E))</f>
        <v/>
      </c>
      <c r="I44" s="23">
        <f>IF($A44="","",H44-G44)</f>
        <v/>
      </c>
      <c r="J44" s="26">
        <f>IF($A44="","",SUMIF(COMPRAS!$B:$B,$A44,COMPRAS!$L:$L))</f>
        <v/>
      </c>
      <c r="K44" s="26">
        <f>IF($A44="","",SUMIF(VENDAS!$B:$B,$A44,VENDAS!$K:$K))</f>
        <v/>
      </c>
      <c r="L44" s="21">
        <f>IF($A44="","",IF(F44&gt;=E44,"FECHADO","ABERTO"))</f>
        <v/>
      </c>
      <c r="M44" s="26">
        <f>IF($A44="","",K44-J44)</f>
        <v/>
      </c>
    </row>
    <row r="45">
      <c r="A45" s="14" t="n"/>
      <c r="B45" s="13">
        <f>IF(OR($A45="",COUNTIF(COMPRAS!$B:$B,$A45)=0),"",MINIFS(COMPRAS!$A:$A,COMPRAS!$B:$B,$A45))</f>
        <v/>
      </c>
      <c r="C45" s="13">
        <f>IF(OR($A45="",COUNTIF(VENDAS!$B:$B,$A45)=0),"",MAXIFS(VENDAS!$A:$A,VENDAS!$B:$B,$A45))</f>
        <v/>
      </c>
      <c r="D45" s="15">
        <f>IF(OR($A45="",B45=""),"",IF(C45="",TODAY()-B45,C45-B45))</f>
        <v/>
      </c>
      <c r="E45" s="15">
        <f>IF($A45="","",SUMIF(COMPRAS!$B:$B,$A45,COMPRAS!$E:$E))</f>
        <v/>
      </c>
      <c r="F45" s="15">
        <f>IF($A45="","",SUMIF(VENDAS!$B:$B,$A45,VENDAS!$D:$D))</f>
        <v/>
      </c>
      <c r="G45" s="16">
        <f>IF($A45="","",SUMIF(COMPRAS!$B:$B,$A45,COMPRAS!$F:$F))</f>
        <v/>
      </c>
      <c r="H45" s="16">
        <f>IF($A45="","",SUMIF(VENDAS!$B:$B,$A45,VENDAS!$E:$E))</f>
        <v/>
      </c>
      <c r="I45" s="16">
        <f>IF($A45="","",H45-G45)</f>
        <v/>
      </c>
      <c r="J45" s="19">
        <f>IF($A45="","",SUMIF(COMPRAS!$B:$B,$A45,COMPRAS!$L:$L))</f>
        <v/>
      </c>
      <c r="K45" s="19">
        <f>IF($A45="","",SUMIF(VENDAS!$B:$B,$A45,VENDAS!$K:$K))</f>
        <v/>
      </c>
      <c r="L45" s="14">
        <f>IF($A45="","",IF(F45&gt;=E45,"FECHADO","ABERTO"))</f>
        <v/>
      </c>
      <c r="M45" s="19">
        <f>IF($A45="","",K45-J45)</f>
        <v/>
      </c>
    </row>
    <row r="46">
      <c r="A46" s="21" t="n"/>
      <c r="B46" s="20">
        <f>IF(OR($A46="",COUNTIF(COMPRAS!$B:$B,$A46)=0),"",MINIFS(COMPRAS!$A:$A,COMPRAS!$B:$B,$A46))</f>
        <v/>
      </c>
      <c r="C46" s="20">
        <f>IF(OR($A46="",COUNTIF(VENDAS!$B:$B,$A46)=0),"",MAXIFS(VENDAS!$A:$A,VENDAS!$B:$B,$A46))</f>
        <v/>
      </c>
      <c r="D46" s="22">
        <f>IF(OR($A46="",B46=""),"",IF(C46="",TODAY()-B46,C46-B46))</f>
        <v/>
      </c>
      <c r="E46" s="22">
        <f>IF($A46="","",SUMIF(COMPRAS!$B:$B,$A46,COMPRAS!$E:$E))</f>
        <v/>
      </c>
      <c r="F46" s="22">
        <f>IF($A46="","",SUMIF(VENDAS!$B:$B,$A46,VENDAS!$D:$D))</f>
        <v/>
      </c>
      <c r="G46" s="23">
        <f>IF($A46="","",SUMIF(COMPRAS!$B:$B,$A46,COMPRAS!$F:$F))</f>
        <v/>
      </c>
      <c r="H46" s="23">
        <f>IF($A46="","",SUMIF(VENDAS!$B:$B,$A46,VENDAS!$E:$E))</f>
        <v/>
      </c>
      <c r="I46" s="23">
        <f>IF($A46="","",H46-G46)</f>
        <v/>
      </c>
      <c r="J46" s="26">
        <f>IF($A46="","",SUMIF(COMPRAS!$B:$B,$A46,COMPRAS!$L:$L))</f>
        <v/>
      </c>
      <c r="K46" s="26">
        <f>IF($A46="","",SUMIF(VENDAS!$B:$B,$A46,VENDAS!$K:$K))</f>
        <v/>
      </c>
      <c r="L46" s="21">
        <f>IF($A46="","",IF(F46&gt;=E46,"FECHADO","ABERTO"))</f>
        <v/>
      </c>
      <c r="M46" s="26">
        <f>IF($A46="","",K46-J46)</f>
        <v/>
      </c>
    </row>
    <row r="47">
      <c r="A47" s="14" t="n"/>
      <c r="B47" s="13">
        <f>IF(OR($A47="",COUNTIF(COMPRAS!$B:$B,$A47)=0),"",MINIFS(COMPRAS!$A:$A,COMPRAS!$B:$B,$A47))</f>
        <v/>
      </c>
      <c r="C47" s="13">
        <f>IF(OR($A47="",COUNTIF(VENDAS!$B:$B,$A47)=0),"",MAXIFS(VENDAS!$A:$A,VENDAS!$B:$B,$A47))</f>
        <v/>
      </c>
      <c r="D47" s="15">
        <f>IF(OR($A47="",B47=""),"",IF(C47="",TODAY()-B47,C47-B47))</f>
        <v/>
      </c>
      <c r="E47" s="15">
        <f>IF($A47="","",SUMIF(COMPRAS!$B:$B,$A47,COMPRAS!$E:$E))</f>
        <v/>
      </c>
      <c r="F47" s="15">
        <f>IF($A47="","",SUMIF(VENDAS!$B:$B,$A47,VENDAS!$D:$D))</f>
        <v/>
      </c>
      <c r="G47" s="16">
        <f>IF($A47="","",SUMIF(COMPRAS!$B:$B,$A47,COMPRAS!$F:$F))</f>
        <v/>
      </c>
      <c r="H47" s="16">
        <f>IF($A47="","",SUMIF(VENDAS!$B:$B,$A47,VENDAS!$E:$E))</f>
        <v/>
      </c>
      <c r="I47" s="16">
        <f>IF($A47="","",H47-G47)</f>
        <v/>
      </c>
      <c r="J47" s="19">
        <f>IF($A47="","",SUMIF(COMPRAS!$B:$B,$A47,COMPRAS!$L:$L))</f>
        <v/>
      </c>
      <c r="K47" s="19">
        <f>IF($A47="","",SUMIF(VENDAS!$B:$B,$A47,VENDAS!$K:$K))</f>
        <v/>
      </c>
      <c r="L47" s="14">
        <f>IF($A47="","",IF(F47&gt;=E47,"FECHADO","ABERTO"))</f>
        <v/>
      </c>
      <c r="M47" s="19">
        <f>IF($A47="","",K47-J47)</f>
        <v/>
      </c>
    </row>
    <row r="48">
      <c r="A48" s="21" t="n"/>
      <c r="B48" s="20">
        <f>IF(OR($A48="",COUNTIF(COMPRAS!$B:$B,$A48)=0),"",MINIFS(COMPRAS!$A:$A,COMPRAS!$B:$B,$A48))</f>
        <v/>
      </c>
      <c r="C48" s="20">
        <f>IF(OR($A48="",COUNTIF(VENDAS!$B:$B,$A48)=0),"",MAXIFS(VENDAS!$A:$A,VENDAS!$B:$B,$A48))</f>
        <v/>
      </c>
      <c r="D48" s="22">
        <f>IF(OR($A48="",B48=""),"",IF(C48="",TODAY()-B48,C48-B48))</f>
        <v/>
      </c>
      <c r="E48" s="22">
        <f>IF($A48="","",SUMIF(COMPRAS!$B:$B,$A48,COMPRAS!$E:$E))</f>
        <v/>
      </c>
      <c r="F48" s="22">
        <f>IF($A48="","",SUMIF(VENDAS!$B:$B,$A48,VENDAS!$D:$D))</f>
        <v/>
      </c>
      <c r="G48" s="23">
        <f>IF($A48="","",SUMIF(COMPRAS!$B:$B,$A48,COMPRAS!$F:$F))</f>
        <v/>
      </c>
      <c r="H48" s="23">
        <f>IF($A48="","",SUMIF(VENDAS!$B:$B,$A48,VENDAS!$E:$E))</f>
        <v/>
      </c>
      <c r="I48" s="23">
        <f>IF($A48="","",H48-G48)</f>
        <v/>
      </c>
      <c r="J48" s="26">
        <f>IF($A48="","",SUMIF(COMPRAS!$B:$B,$A48,COMPRAS!$L:$L))</f>
        <v/>
      </c>
      <c r="K48" s="26">
        <f>IF($A48="","",SUMIF(VENDAS!$B:$B,$A48,VENDAS!$K:$K))</f>
        <v/>
      </c>
      <c r="L48" s="21">
        <f>IF($A48="","",IF(F48&gt;=E48,"FECHADO","ABERTO"))</f>
        <v/>
      </c>
      <c r="M48" s="26">
        <f>IF($A48="","",K48-J48)</f>
        <v/>
      </c>
    </row>
    <row r="49">
      <c r="A49" s="14" t="n"/>
      <c r="B49" s="13">
        <f>IF(OR($A49="",COUNTIF(COMPRAS!$B:$B,$A49)=0),"",MINIFS(COMPRAS!$A:$A,COMPRAS!$B:$B,$A49))</f>
        <v/>
      </c>
      <c r="C49" s="13">
        <f>IF(OR($A49="",COUNTIF(VENDAS!$B:$B,$A49)=0),"",MAXIFS(VENDAS!$A:$A,VENDAS!$B:$B,$A49))</f>
        <v/>
      </c>
      <c r="D49" s="15">
        <f>IF(OR($A49="",B49=""),"",IF(C49="",TODAY()-B49,C49-B49))</f>
        <v/>
      </c>
      <c r="E49" s="15">
        <f>IF($A49="","",SUMIF(COMPRAS!$B:$B,$A49,COMPRAS!$E:$E))</f>
        <v/>
      </c>
      <c r="F49" s="15">
        <f>IF($A49="","",SUMIF(VENDAS!$B:$B,$A49,VENDAS!$D:$D))</f>
        <v/>
      </c>
      <c r="G49" s="16">
        <f>IF($A49="","",SUMIF(COMPRAS!$B:$B,$A49,COMPRAS!$F:$F))</f>
        <v/>
      </c>
      <c r="H49" s="16">
        <f>IF($A49="","",SUMIF(VENDAS!$B:$B,$A49,VENDAS!$E:$E))</f>
        <v/>
      </c>
      <c r="I49" s="16">
        <f>IF($A49="","",H49-G49)</f>
        <v/>
      </c>
      <c r="J49" s="19">
        <f>IF($A49="","",SUMIF(COMPRAS!$B:$B,$A49,COMPRAS!$L:$L))</f>
        <v/>
      </c>
      <c r="K49" s="19">
        <f>IF($A49="","",SUMIF(VENDAS!$B:$B,$A49,VENDAS!$K:$K))</f>
        <v/>
      </c>
      <c r="L49" s="14">
        <f>IF($A49="","",IF(F49&gt;=E49,"FECHADO","ABERTO"))</f>
        <v/>
      </c>
      <c r="M49" s="19">
        <f>IF($A49="","",K49-J49)</f>
        <v/>
      </c>
    </row>
    <row r="50">
      <c r="A50" s="21" t="n"/>
      <c r="B50" s="20">
        <f>IF(OR($A50="",COUNTIF(COMPRAS!$B:$B,$A50)=0),"",MINIFS(COMPRAS!$A:$A,COMPRAS!$B:$B,$A50))</f>
        <v/>
      </c>
      <c r="C50" s="20">
        <f>IF(OR($A50="",COUNTIF(VENDAS!$B:$B,$A50)=0),"",MAXIFS(VENDAS!$A:$A,VENDAS!$B:$B,$A50))</f>
        <v/>
      </c>
      <c r="D50" s="22">
        <f>IF(OR($A50="",B50=""),"",IF(C50="",TODAY()-B50,C50-B50))</f>
        <v/>
      </c>
      <c r="E50" s="22">
        <f>IF($A50="","",SUMIF(COMPRAS!$B:$B,$A50,COMPRAS!$E:$E))</f>
        <v/>
      </c>
      <c r="F50" s="22">
        <f>IF($A50="","",SUMIF(VENDAS!$B:$B,$A50,VENDAS!$D:$D))</f>
        <v/>
      </c>
      <c r="G50" s="23">
        <f>IF($A50="","",SUMIF(COMPRAS!$B:$B,$A50,COMPRAS!$F:$F))</f>
        <v/>
      </c>
      <c r="H50" s="23">
        <f>IF($A50="","",SUMIF(VENDAS!$B:$B,$A50,VENDAS!$E:$E))</f>
        <v/>
      </c>
      <c r="I50" s="23">
        <f>IF($A50="","",H50-G50)</f>
        <v/>
      </c>
      <c r="J50" s="26">
        <f>IF($A50="","",SUMIF(COMPRAS!$B:$B,$A50,COMPRAS!$L:$L))</f>
        <v/>
      </c>
      <c r="K50" s="26">
        <f>IF($A50="","",SUMIF(VENDAS!$B:$B,$A50,VENDAS!$K:$K))</f>
        <v/>
      </c>
      <c r="L50" s="21">
        <f>IF($A50="","",IF(F50&gt;=E50,"FECHADO","ABERTO"))</f>
        <v/>
      </c>
      <c r="M50" s="26">
        <f>IF($A50="","",K50-J50)</f>
        <v/>
      </c>
    </row>
    <row r="51">
      <c r="A51" s="14" t="n"/>
      <c r="B51" s="13">
        <f>IF(OR($A51="",COUNTIF(COMPRAS!$B:$B,$A51)=0),"",MINIFS(COMPRAS!$A:$A,COMPRAS!$B:$B,$A51))</f>
        <v/>
      </c>
      <c r="C51" s="13">
        <f>IF(OR($A51="",COUNTIF(VENDAS!$B:$B,$A51)=0),"",MAXIFS(VENDAS!$A:$A,VENDAS!$B:$B,$A51))</f>
        <v/>
      </c>
      <c r="D51" s="15">
        <f>IF(OR($A51="",B51=""),"",IF(C51="",TODAY()-B51,C51-B51))</f>
        <v/>
      </c>
      <c r="E51" s="15">
        <f>IF($A51="","",SUMIF(COMPRAS!$B:$B,$A51,COMPRAS!$E:$E))</f>
        <v/>
      </c>
      <c r="F51" s="15">
        <f>IF($A51="","",SUMIF(VENDAS!$B:$B,$A51,VENDAS!$D:$D))</f>
        <v/>
      </c>
      <c r="G51" s="16">
        <f>IF($A51="","",SUMIF(COMPRAS!$B:$B,$A51,COMPRAS!$F:$F))</f>
        <v/>
      </c>
      <c r="H51" s="16">
        <f>IF($A51="","",SUMIF(VENDAS!$B:$B,$A51,VENDAS!$E:$E))</f>
        <v/>
      </c>
      <c r="I51" s="16">
        <f>IF($A51="","",H51-G51)</f>
        <v/>
      </c>
      <c r="J51" s="19">
        <f>IF($A51="","",SUMIF(COMPRAS!$B:$B,$A51,COMPRAS!$L:$L))</f>
        <v/>
      </c>
      <c r="K51" s="19">
        <f>IF($A51="","",SUMIF(VENDAS!$B:$B,$A51,VENDAS!$K:$K))</f>
        <v/>
      </c>
      <c r="L51" s="14">
        <f>IF($A51="","",IF(F51&gt;=E51,"FECHADO","ABERTO"))</f>
        <v/>
      </c>
      <c r="M51" s="19">
        <f>IF($A51="","",K51-J51)</f>
        <v/>
      </c>
    </row>
    <row r="52">
      <c r="A52" s="21" t="n"/>
      <c r="B52" s="20">
        <f>IF(OR($A52="",COUNTIF(COMPRAS!$B:$B,$A52)=0),"",MINIFS(COMPRAS!$A:$A,COMPRAS!$B:$B,$A52))</f>
        <v/>
      </c>
      <c r="C52" s="20">
        <f>IF(OR($A52="",COUNTIF(VENDAS!$B:$B,$A52)=0),"",MAXIFS(VENDAS!$A:$A,VENDAS!$B:$B,$A52))</f>
        <v/>
      </c>
      <c r="D52" s="22">
        <f>IF(OR($A52="",B52=""),"",IF(C52="",TODAY()-B52,C52-B52))</f>
        <v/>
      </c>
      <c r="E52" s="22">
        <f>IF($A52="","",SUMIF(COMPRAS!$B:$B,$A52,COMPRAS!$E:$E))</f>
        <v/>
      </c>
      <c r="F52" s="22">
        <f>IF($A52="","",SUMIF(VENDAS!$B:$B,$A52,VENDAS!$D:$D))</f>
        <v/>
      </c>
      <c r="G52" s="23">
        <f>IF($A52="","",SUMIF(COMPRAS!$B:$B,$A52,COMPRAS!$F:$F))</f>
        <v/>
      </c>
      <c r="H52" s="23">
        <f>IF($A52="","",SUMIF(VENDAS!$B:$B,$A52,VENDAS!$E:$E))</f>
        <v/>
      </c>
      <c r="I52" s="23">
        <f>IF($A52="","",H52-G52)</f>
        <v/>
      </c>
      <c r="J52" s="26">
        <f>IF($A52="","",SUMIF(COMPRAS!$B:$B,$A52,COMPRAS!$L:$L))</f>
        <v/>
      </c>
      <c r="K52" s="26">
        <f>IF($A52="","",SUMIF(VENDAS!$B:$B,$A52,VENDAS!$K:$K))</f>
        <v/>
      </c>
      <c r="L52" s="21">
        <f>IF($A52="","",IF(F52&gt;=E52,"FECHADO","ABERTO"))</f>
        <v/>
      </c>
      <c r="M52" s="26">
        <f>IF($A52="","",K52-J52)</f>
        <v/>
      </c>
    </row>
    <row r="53">
      <c r="A53" s="14" t="n"/>
      <c r="B53" s="13">
        <f>IF(OR($A53="",COUNTIF(COMPRAS!$B:$B,$A53)=0),"",MINIFS(COMPRAS!$A:$A,COMPRAS!$B:$B,$A53))</f>
        <v/>
      </c>
      <c r="C53" s="13">
        <f>IF(OR($A53="",COUNTIF(VENDAS!$B:$B,$A53)=0),"",MAXIFS(VENDAS!$A:$A,VENDAS!$B:$B,$A53))</f>
        <v/>
      </c>
      <c r="D53" s="15">
        <f>IF(OR($A53="",B53=""),"",IF(C53="",TODAY()-B53,C53-B53))</f>
        <v/>
      </c>
      <c r="E53" s="15">
        <f>IF($A53="","",SUMIF(COMPRAS!$B:$B,$A53,COMPRAS!$E:$E))</f>
        <v/>
      </c>
      <c r="F53" s="15">
        <f>IF($A53="","",SUMIF(VENDAS!$B:$B,$A53,VENDAS!$D:$D))</f>
        <v/>
      </c>
      <c r="G53" s="16">
        <f>IF($A53="","",SUMIF(COMPRAS!$B:$B,$A53,COMPRAS!$F:$F))</f>
        <v/>
      </c>
      <c r="H53" s="16">
        <f>IF($A53="","",SUMIF(VENDAS!$B:$B,$A53,VENDAS!$E:$E))</f>
        <v/>
      </c>
      <c r="I53" s="16">
        <f>IF($A53="","",H53-G53)</f>
        <v/>
      </c>
      <c r="J53" s="19">
        <f>IF($A53="","",SUMIF(COMPRAS!$B:$B,$A53,COMPRAS!$L:$L))</f>
        <v/>
      </c>
      <c r="K53" s="19">
        <f>IF($A53="","",SUMIF(VENDAS!$B:$B,$A53,VENDAS!$K:$K))</f>
        <v/>
      </c>
      <c r="L53" s="14">
        <f>IF($A53="","",IF(F53&gt;=E53,"FECHADO","ABERTO"))</f>
        <v/>
      </c>
      <c r="M53" s="19">
        <f>IF($A53="","",K53-J53)</f>
        <v/>
      </c>
    </row>
    <row r="54">
      <c r="A54" s="21" t="n"/>
      <c r="B54" s="20">
        <f>IF(OR($A54="",COUNTIF(COMPRAS!$B:$B,$A54)=0),"",MINIFS(COMPRAS!$A:$A,COMPRAS!$B:$B,$A54))</f>
        <v/>
      </c>
      <c r="C54" s="20">
        <f>IF(OR($A54="",COUNTIF(VENDAS!$B:$B,$A54)=0),"",MAXIFS(VENDAS!$A:$A,VENDAS!$B:$B,$A54))</f>
        <v/>
      </c>
      <c r="D54" s="22">
        <f>IF(OR($A54="",B54=""),"",IF(C54="",TODAY()-B54,C54-B54))</f>
        <v/>
      </c>
      <c r="E54" s="22">
        <f>IF($A54="","",SUMIF(COMPRAS!$B:$B,$A54,COMPRAS!$E:$E))</f>
        <v/>
      </c>
      <c r="F54" s="22">
        <f>IF($A54="","",SUMIF(VENDAS!$B:$B,$A54,VENDAS!$D:$D))</f>
        <v/>
      </c>
      <c r="G54" s="23">
        <f>IF($A54="","",SUMIF(COMPRAS!$B:$B,$A54,COMPRAS!$F:$F))</f>
        <v/>
      </c>
      <c r="H54" s="23">
        <f>IF($A54="","",SUMIF(VENDAS!$B:$B,$A54,VENDAS!$E:$E))</f>
        <v/>
      </c>
      <c r="I54" s="23">
        <f>IF($A54="","",H54-G54)</f>
        <v/>
      </c>
      <c r="J54" s="26">
        <f>IF($A54="","",SUMIF(COMPRAS!$B:$B,$A54,COMPRAS!$L:$L))</f>
        <v/>
      </c>
      <c r="K54" s="26">
        <f>IF($A54="","",SUMIF(VENDAS!$B:$B,$A54,VENDAS!$K:$K))</f>
        <v/>
      </c>
      <c r="L54" s="21">
        <f>IF($A54="","",IF(F54&gt;=E54,"FECHADO","ABERTO"))</f>
        <v/>
      </c>
      <c r="M54" s="26">
        <f>IF($A54="","",K54-J54)</f>
        <v/>
      </c>
    </row>
    <row r="55">
      <c r="A55" s="14" t="n"/>
      <c r="B55" s="13">
        <f>IF(OR($A55="",COUNTIF(COMPRAS!$B:$B,$A55)=0),"",MINIFS(COMPRAS!$A:$A,COMPRAS!$B:$B,$A55))</f>
        <v/>
      </c>
      <c r="C55" s="13">
        <f>IF(OR($A55="",COUNTIF(VENDAS!$B:$B,$A55)=0),"",MAXIFS(VENDAS!$A:$A,VENDAS!$B:$B,$A55))</f>
        <v/>
      </c>
      <c r="D55" s="15">
        <f>IF(OR($A55="",B55=""),"",IF(C55="",TODAY()-B55,C55-B55))</f>
        <v/>
      </c>
      <c r="E55" s="15">
        <f>IF($A55="","",SUMIF(COMPRAS!$B:$B,$A55,COMPRAS!$E:$E))</f>
        <v/>
      </c>
      <c r="F55" s="15">
        <f>IF($A55="","",SUMIF(VENDAS!$B:$B,$A55,VENDAS!$D:$D))</f>
        <v/>
      </c>
      <c r="G55" s="16">
        <f>IF($A55="","",SUMIF(COMPRAS!$B:$B,$A55,COMPRAS!$F:$F))</f>
        <v/>
      </c>
      <c r="H55" s="16">
        <f>IF($A55="","",SUMIF(VENDAS!$B:$B,$A55,VENDAS!$E:$E))</f>
        <v/>
      </c>
      <c r="I55" s="16">
        <f>IF($A55="","",H55-G55)</f>
        <v/>
      </c>
      <c r="J55" s="19">
        <f>IF($A55="","",SUMIF(COMPRAS!$B:$B,$A55,COMPRAS!$L:$L))</f>
        <v/>
      </c>
      <c r="K55" s="19">
        <f>IF($A55="","",SUMIF(VENDAS!$B:$B,$A55,VENDAS!$K:$K))</f>
        <v/>
      </c>
      <c r="L55" s="14">
        <f>IF($A55="","",IF(F55&gt;=E55,"FECHADO","ABERTO"))</f>
        <v/>
      </c>
      <c r="M55" s="19">
        <f>IF($A55="","",K55-J55)</f>
        <v/>
      </c>
    </row>
    <row r="56">
      <c r="A56" s="21" t="n"/>
      <c r="B56" s="20">
        <f>IF(OR($A56="",COUNTIF(COMPRAS!$B:$B,$A56)=0),"",MINIFS(COMPRAS!$A:$A,COMPRAS!$B:$B,$A56))</f>
        <v/>
      </c>
      <c r="C56" s="20">
        <f>IF(OR($A56="",COUNTIF(VENDAS!$B:$B,$A56)=0),"",MAXIFS(VENDAS!$A:$A,VENDAS!$B:$B,$A56))</f>
        <v/>
      </c>
      <c r="D56" s="22">
        <f>IF(OR($A56="",B56=""),"",IF(C56="",TODAY()-B56,C56-B56))</f>
        <v/>
      </c>
      <c r="E56" s="22">
        <f>IF($A56="","",SUMIF(COMPRAS!$B:$B,$A56,COMPRAS!$E:$E))</f>
        <v/>
      </c>
      <c r="F56" s="22">
        <f>IF($A56="","",SUMIF(VENDAS!$B:$B,$A56,VENDAS!$D:$D))</f>
        <v/>
      </c>
      <c r="G56" s="23">
        <f>IF($A56="","",SUMIF(COMPRAS!$B:$B,$A56,COMPRAS!$F:$F))</f>
        <v/>
      </c>
      <c r="H56" s="23">
        <f>IF($A56="","",SUMIF(VENDAS!$B:$B,$A56,VENDAS!$E:$E))</f>
        <v/>
      </c>
      <c r="I56" s="23">
        <f>IF($A56="","",H56-G56)</f>
        <v/>
      </c>
      <c r="J56" s="26">
        <f>IF($A56="","",SUMIF(COMPRAS!$B:$B,$A56,COMPRAS!$L:$L))</f>
        <v/>
      </c>
      <c r="K56" s="26">
        <f>IF($A56="","",SUMIF(VENDAS!$B:$B,$A56,VENDAS!$K:$K))</f>
        <v/>
      </c>
      <c r="L56" s="21">
        <f>IF($A56="","",IF(F56&gt;=E56,"FECHADO","ABERTO"))</f>
        <v/>
      </c>
      <c r="M56" s="26">
        <f>IF($A56="","",K56-J56)</f>
        <v/>
      </c>
    </row>
    <row r="57">
      <c r="A57" s="14" t="n"/>
      <c r="B57" s="13">
        <f>IF(OR($A57="",COUNTIF(COMPRAS!$B:$B,$A57)=0),"",MINIFS(COMPRAS!$A:$A,COMPRAS!$B:$B,$A57))</f>
        <v/>
      </c>
      <c r="C57" s="13">
        <f>IF(OR($A57="",COUNTIF(VENDAS!$B:$B,$A57)=0),"",MAXIFS(VENDAS!$A:$A,VENDAS!$B:$B,$A57))</f>
        <v/>
      </c>
      <c r="D57" s="15">
        <f>IF(OR($A57="",B57=""),"",IF(C57="",TODAY()-B57,C57-B57))</f>
        <v/>
      </c>
      <c r="E57" s="15">
        <f>IF($A57="","",SUMIF(COMPRAS!$B:$B,$A57,COMPRAS!$E:$E))</f>
        <v/>
      </c>
      <c r="F57" s="15">
        <f>IF($A57="","",SUMIF(VENDAS!$B:$B,$A57,VENDAS!$D:$D))</f>
        <v/>
      </c>
      <c r="G57" s="16">
        <f>IF($A57="","",SUMIF(COMPRAS!$B:$B,$A57,COMPRAS!$F:$F))</f>
        <v/>
      </c>
      <c r="H57" s="16">
        <f>IF($A57="","",SUMIF(VENDAS!$B:$B,$A57,VENDAS!$E:$E))</f>
        <v/>
      </c>
      <c r="I57" s="16">
        <f>IF($A57="","",H57-G57)</f>
        <v/>
      </c>
      <c r="J57" s="19">
        <f>IF($A57="","",SUMIF(COMPRAS!$B:$B,$A57,COMPRAS!$L:$L))</f>
        <v/>
      </c>
      <c r="K57" s="19">
        <f>IF($A57="","",SUMIF(VENDAS!$B:$B,$A57,VENDAS!$K:$K))</f>
        <v/>
      </c>
      <c r="L57" s="14">
        <f>IF($A57="","",IF(F57&gt;=E57,"FECHADO","ABERTO"))</f>
        <v/>
      </c>
      <c r="M57" s="19">
        <f>IF($A57="","",K57-J57)</f>
        <v/>
      </c>
    </row>
    <row r="58">
      <c r="A58" s="21" t="n"/>
      <c r="B58" s="20">
        <f>IF(OR($A58="",COUNTIF(COMPRAS!$B:$B,$A58)=0),"",MINIFS(COMPRAS!$A:$A,COMPRAS!$B:$B,$A58))</f>
        <v/>
      </c>
      <c r="C58" s="20">
        <f>IF(OR($A58="",COUNTIF(VENDAS!$B:$B,$A58)=0),"",MAXIFS(VENDAS!$A:$A,VENDAS!$B:$B,$A58))</f>
        <v/>
      </c>
      <c r="D58" s="22">
        <f>IF(OR($A58="",B58=""),"",IF(C58="",TODAY()-B58,C58-B58))</f>
        <v/>
      </c>
      <c r="E58" s="22">
        <f>IF($A58="","",SUMIF(COMPRAS!$B:$B,$A58,COMPRAS!$E:$E))</f>
        <v/>
      </c>
      <c r="F58" s="22">
        <f>IF($A58="","",SUMIF(VENDAS!$B:$B,$A58,VENDAS!$D:$D))</f>
        <v/>
      </c>
      <c r="G58" s="23">
        <f>IF($A58="","",SUMIF(COMPRAS!$B:$B,$A58,COMPRAS!$F:$F))</f>
        <v/>
      </c>
      <c r="H58" s="23">
        <f>IF($A58="","",SUMIF(VENDAS!$B:$B,$A58,VENDAS!$E:$E))</f>
        <v/>
      </c>
      <c r="I58" s="23">
        <f>IF($A58="","",H58-G58)</f>
        <v/>
      </c>
      <c r="J58" s="26">
        <f>IF($A58="","",SUMIF(COMPRAS!$B:$B,$A58,COMPRAS!$L:$L))</f>
        <v/>
      </c>
      <c r="K58" s="26">
        <f>IF($A58="","",SUMIF(VENDAS!$B:$B,$A58,VENDAS!$K:$K))</f>
        <v/>
      </c>
      <c r="L58" s="21">
        <f>IF($A58="","",IF(F58&gt;=E58,"FECHADO","ABERTO"))</f>
        <v/>
      </c>
      <c r="M58" s="26">
        <f>IF($A58="","",K58-J58)</f>
        <v/>
      </c>
    </row>
    <row r="59">
      <c r="A59" s="14" t="n"/>
      <c r="B59" s="13">
        <f>IF(OR($A59="",COUNTIF(COMPRAS!$B:$B,$A59)=0),"",MINIFS(COMPRAS!$A:$A,COMPRAS!$B:$B,$A59))</f>
        <v/>
      </c>
      <c r="C59" s="13">
        <f>IF(OR($A59="",COUNTIF(VENDAS!$B:$B,$A59)=0),"",MAXIFS(VENDAS!$A:$A,VENDAS!$B:$B,$A59))</f>
        <v/>
      </c>
      <c r="D59" s="15">
        <f>IF(OR($A59="",B59=""),"",IF(C59="",TODAY()-B59,C59-B59))</f>
        <v/>
      </c>
      <c r="E59" s="15">
        <f>IF($A59="","",SUMIF(COMPRAS!$B:$B,$A59,COMPRAS!$E:$E))</f>
        <v/>
      </c>
      <c r="F59" s="15">
        <f>IF($A59="","",SUMIF(VENDAS!$B:$B,$A59,VENDAS!$D:$D))</f>
        <v/>
      </c>
      <c r="G59" s="16">
        <f>IF($A59="","",SUMIF(COMPRAS!$B:$B,$A59,COMPRAS!$F:$F))</f>
        <v/>
      </c>
      <c r="H59" s="16">
        <f>IF($A59="","",SUMIF(VENDAS!$B:$B,$A59,VENDAS!$E:$E))</f>
        <v/>
      </c>
      <c r="I59" s="16">
        <f>IF($A59="","",H59-G59)</f>
        <v/>
      </c>
      <c r="J59" s="19">
        <f>IF($A59="","",SUMIF(COMPRAS!$B:$B,$A59,COMPRAS!$L:$L))</f>
        <v/>
      </c>
      <c r="K59" s="19">
        <f>IF($A59="","",SUMIF(VENDAS!$B:$B,$A59,VENDAS!$K:$K))</f>
        <v/>
      </c>
      <c r="L59" s="14">
        <f>IF($A59="","",IF(F59&gt;=E59,"FECHADO","ABERTO"))</f>
        <v/>
      </c>
      <c r="M59" s="19">
        <f>IF($A59="","",K59-J59)</f>
        <v/>
      </c>
    </row>
    <row r="60">
      <c r="A60" s="21" t="n"/>
      <c r="B60" s="20">
        <f>IF(OR($A60="",COUNTIF(COMPRAS!$B:$B,$A60)=0),"",MINIFS(COMPRAS!$A:$A,COMPRAS!$B:$B,$A60))</f>
        <v/>
      </c>
      <c r="C60" s="20">
        <f>IF(OR($A60="",COUNTIF(VENDAS!$B:$B,$A60)=0),"",MAXIFS(VENDAS!$A:$A,VENDAS!$B:$B,$A60))</f>
        <v/>
      </c>
      <c r="D60" s="22">
        <f>IF(OR($A60="",B60=""),"",IF(C60="",TODAY()-B60,C60-B60))</f>
        <v/>
      </c>
      <c r="E60" s="22">
        <f>IF($A60="","",SUMIF(COMPRAS!$B:$B,$A60,COMPRAS!$E:$E))</f>
        <v/>
      </c>
      <c r="F60" s="22">
        <f>IF($A60="","",SUMIF(VENDAS!$B:$B,$A60,VENDAS!$D:$D))</f>
        <v/>
      </c>
      <c r="G60" s="23">
        <f>IF($A60="","",SUMIF(COMPRAS!$B:$B,$A60,COMPRAS!$F:$F))</f>
        <v/>
      </c>
      <c r="H60" s="23">
        <f>IF($A60="","",SUMIF(VENDAS!$B:$B,$A60,VENDAS!$E:$E))</f>
        <v/>
      </c>
      <c r="I60" s="23">
        <f>IF($A60="","",H60-G60)</f>
        <v/>
      </c>
      <c r="J60" s="26">
        <f>IF($A60="","",SUMIF(COMPRAS!$B:$B,$A60,COMPRAS!$L:$L))</f>
        <v/>
      </c>
      <c r="K60" s="26">
        <f>IF($A60="","",SUMIF(VENDAS!$B:$B,$A60,VENDAS!$K:$K))</f>
        <v/>
      </c>
      <c r="L60" s="21">
        <f>IF($A60="","",IF(F60&gt;=E60,"FECHADO","ABERTO"))</f>
        <v/>
      </c>
      <c r="M60" s="26">
        <f>IF($A60="","",K60-J60)</f>
        <v/>
      </c>
    </row>
    <row r="61">
      <c r="A61" s="14" t="n"/>
      <c r="B61" s="13">
        <f>IF(OR($A61="",COUNTIF(COMPRAS!$B:$B,$A61)=0),"",MINIFS(COMPRAS!$A:$A,COMPRAS!$B:$B,$A61))</f>
        <v/>
      </c>
      <c r="C61" s="13">
        <f>IF(OR($A61="",COUNTIF(VENDAS!$B:$B,$A61)=0),"",MAXIFS(VENDAS!$A:$A,VENDAS!$B:$B,$A61))</f>
        <v/>
      </c>
      <c r="D61" s="15">
        <f>IF(OR($A61="",B61=""),"",IF(C61="",TODAY()-B61,C61-B61))</f>
        <v/>
      </c>
      <c r="E61" s="15">
        <f>IF($A61="","",SUMIF(COMPRAS!$B:$B,$A61,COMPRAS!$E:$E))</f>
        <v/>
      </c>
      <c r="F61" s="15">
        <f>IF($A61="","",SUMIF(VENDAS!$B:$B,$A61,VENDAS!$D:$D))</f>
        <v/>
      </c>
      <c r="G61" s="16">
        <f>IF($A61="","",SUMIF(COMPRAS!$B:$B,$A61,COMPRAS!$F:$F))</f>
        <v/>
      </c>
      <c r="H61" s="16">
        <f>IF($A61="","",SUMIF(VENDAS!$B:$B,$A61,VENDAS!$E:$E))</f>
        <v/>
      </c>
      <c r="I61" s="16">
        <f>IF($A61="","",H61-G61)</f>
        <v/>
      </c>
      <c r="J61" s="19">
        <f>IF($A61="","",SUMIF(COMPRAS!$B:$B,$A61,COMPRAS!$L:$L))</f>
        <v/>
      </c>
      <c r="K61" s="19">
        <f>IF($A61="","",SUMIF(VENDAS!$B:$B,$A61,VENDAS!$K:$K))</f>
        <v/>
      </c>
      <c r="L61" s="14">
        <f>IF($A61="","",IF(F61&gt;=E61,"FECHADO","ABERTO"))</f>
        <v/>
      </c>
      <c r="M61" s="19">
        <f>IF($A61="","",K61-J61)</f>
        <v/>
      </c>
    </row>
    <row r="62">
      <c r="A62" s="21" t="n"/>
      <c r="B62" s="20">
        <f>IF(OR($A62="",COUNTIF(COMPRAS!$B:$B,$A62)=0),"",MINIFS(COMPRAS!$A:$A,COMPRAS!$B:$B,$A62))</f>
        <v/>
      </c>
      <c r="C62" s="20">
        <f>IF(OR($A62="",COUNTIF(VENDAS!$B:$B,$A62)=0),"",MAXIFS(VENDAS!$A:$A,VENDAS!$B:$B,$A62))</f>
        <v/>
      </c>
      <c r="D62" s="22">
        <f>IF(OR($A62="",B62=""),"",IF(C62="",TODAY()-B62,C62-B62))</f>
        <v/>
      </c>
      <c r="E62" s="22">
        <f>IF($A62="","",SUMIF(COMPRAS!$B:$B,$A62,COMPRAS!$E:$E))</f>
        <v/>
      </c>
      <c r="F62" s="22">
        <f>IF($A62="","",SUMIF(VENDAS!$B:$B,$A62,VENDAS!$D:$D))</f>
        <v/>
      </c>
      <c r="G62" s="23">
        <f>IF($A62="","",SUMIF(COMPRAS!$B:$B,$A62,COMPRAS!$F:$F))</f>
        <v/>
      </c>
      <c r="H62" s="23">
        <f>IF($A62="","",SUMIF(VENDAS!$B:$B,$A62,VENDAS!$E:$E))</f>
        <v/>
      </c>
      <c r="I62" s="23">
        <f>IF($A62="","",H62-G62)</f>
        <v/>
      </c>
      <c r="J62" s="26">
        <f>IF($A62="","",SUMIF(COMPRAS!$B:$B,$A62,COMPRAS!$L:$L))</f>
        <v/>
      </c>
      <c r="K62" s="26">
        <f>IF($A62="","",SUMIF(VENDAS!$B:$B,$A62,VENDAS!$K:$K))</f>
        <v/>
      </c>
      <c r="L62" s="21">
        <f>IF($A62="","",IF(F62&gt;=E62,"FECHADO","ABERTO"))</f>
        <v/>
      </c>
      <c r="M62" s="26">
        <f>IF($A62="","",K62-J62)</f>
        <v/>
      </c>
    </row>
    <row r="63">
      <c r="A63" s="14" t="n"/>
      <c r="B63" s="13">
        <f>IF(OR($A63="",COUNTIF(COMPRAS!$B:$B,$A63)=0),"",MINIFS(COMPRAS!$A:$A,COMPRAS!$B:$B,$A63))</f>
        <v/>
      </c>
      <c r="C63" s="13">
        <f>IF(OR($A63="",COUNTIF(VENDAS!$B:$B,$A63)=0),"",MAXIFS(VENDAS!$A:$A,VENDAS!$B:$B,$A63))</f>
        <v/>
      </c>
      <c r="D63" s="15">
        <f>IF(OR($A63="",B63=""),"",IF(C63="",TODAY()-B63,C63-B63))</f>
        <v/>
      </c>
      <c r="E63" s="15">
        <f>IF($A63="","",SUMIF(COMPRAS!$B:$B,$A63,COMPRAS!$E:$E))</f>
        <v/>
      </c>
      <c r="F63" s="15">
        <f>IF($A63="","",SUMIF(VENDAS!$B:$B,$A63,VENDAS!$D:$D))</f>
        <v/>
      </c>
      <c r="G63" s="16">
        <f>IF($A63="","",SUMIF(COMPRAS!$B:$B,$A63,COMPRAS!$F:$F))</f>
        <v/>
      </c>
      <c r="H63" s="16">
        <f>IF($A63="","",SUMIF(VENDAS!$B:$B,$A63,VENDAS!$E:$E))</f>
        <v/>
      </c>
      <c r="I63" s="16">
        <f>IF($A63="","",H63-G63)</f>
        <v/>
      </c>
      <c r="J63" s="19">
        <f>IF($A63="","",SUMIF(COMPRAS!$B:$B,$A63,COMPRAS!$L:$L))</f>
        <v/>
      </c>
      <c r="K63" s="19">
        <f>IF($A63="","",SUMIF(VENDAS!$B:$B,$A63,VENDAS!$K:$K))</f>
        <v/>
      </c>
      <c r="L63" s="14">
        <f>IF($A63="","",IF(F63&gt;=E63,"FECHADO","ABERTO"))</f>
        <v/>
      </c>
      <c r="M63" s="19">
        <f>IF($A63="","",K63-J63)</f>
        <v/>
      </c>
    </row>
    <row r="64">
      <c r="A64" s="21" t="n"/>
      <c r="B64" s="20">
        <f>IF(OR($A64="",COUNTIF(COMPRAS!$B:$B,$A64)=0),"",MINIFS(COMPRAS!$A:$A,COMPRAS!$B:$B,$A64))</f>
        <v/>
      </c>
      <c r="C64" s="20">
        <f>IF(OR($A64="",COUNTIF(VENDAS!$B:$B,$A64)=0),"",MAXIFS(VENDAS!$A:$A,VENDAS!$B:$B,$A64))</f>
        <v/>
      </c>
      <c r="D64" s="22">
        <f>IF(OR($A64="",B64=""),"",IF(C64="",TODAY()-B64,C64-B64))</f>
        <v/>
      </c>
      <c r="E64" s="22">
        <f>IF($A64="","",SUMIF(COMPRAS!$B:$B,$A64,COMPRAS!$E:$E))</f>
        <v/>
      </c>
      <c r="F64" s="22">
        <f>IF($A64="","",SUMIF(VENDAS!$B:$B,$A64,VENDAS!$D:$D))</f>
        <v/>
      </c>
      <c r="G64" s="23">
        <f>IF($A64="","",SUMIF(COMPRAS!$B:$B,$A64,COMPRAS!$F:$F))</f>
        <v/>
      </c>
      <c r="H64" s="23">
        <f>IF($A64="","",SUMIF(VENDAS!$B:$B,$A64,VENDAS!$E:$E))</f>
        <v/>
      </c>
      <c r="I64" s="23">
        <f>IF($A64="","",H64-G64)</f>
        <v/>
      </c>
      <c r="J64" s="26">
        <f>IF($A64="","",SUMIF(COMPRAS!$B:$B,$A64,COMPRAS!$L:$L))</f>
        <v/>
      </c>
      <c r="K64" s="26">
        <f>IF($A64="","",SUMIF(VENDAS!$B:$B,$A64,VENDAS!$K:$K))</f>
        <v/>
      </c>
      <c r="L64" s="21">
        <f>IF($A64="","",IF(F64&gt;=E64,"FECHADO","ABERTO"))</f>
        <v/>
      </c>
      <c r="M64" s="26">
        <f>IF($A64="","",K64-J64)</f>
        <v/>
      </c>
    </row>
    <row r="65">
      <c r="A65" s="14" t="n"/>
      <c r="B65" s="13">
        <f>IF(OR($A65="",COUNTIF(COMPRAS!$B:$B,$A65)=0),"",MINIFS(COMPRAS!$A:$A,COMPRAS!$B:$B,$A65))</f>
        <v/>
      </c>
      <c r="C65" s="13">
        <f>IF(OR($A65="",COUNTIF(VENDAS!$B:$B,$A65)=0),"",MAXIFS(VENDAS!$A:$A,VENDAS!$B:$B,$A65))</f>
        <v/>
      </c>
      <c r="D65" s="15">
        <f>IF(OR($A65="",B65=""),"",IF(C65="",TODAY()-B65,C65-B65))</f>
        <v/>
      </c>
      <c r="E65" s="15">
        <f>IF($A65="","",SUMIF(COMPRAS!$B:$B,$A65,COMPRAS!$E:$E))</f>
        <v/>
      </c>
      <c r="F65" s="15">
        <f>IF($A65="","",SUMIF(VENDAS!$B:$B,$A65,VENDAS!$D:$D))</f>
        <v/>
      </c>
      <c r="G65" s="16">
        <f>IF($A65="","",SUMIF(COMPRAS!$B:$B,$A65,COMPRAS!$F:$F))</f>
        <v/>
      </c>
      <c r="H65" s="16">
        <f>IF($A65="","",SUMIF(VENDAS!$B:$B,$A65,VENDAS!$E:$E))</f>
        <v/>
      </c>
      <c r="I65" s="16">
        <f>IF($A65="","",H65-G65)</f>
        <v/>
      </c>
      <c r="J65" s="19">
        <f>IF($A65="","",SUMIF(COMPRAS!$B:$B,$A65,COMPRAS!$L:$L))</f>
        <v/>
      </c>
      <c r="K65" s="19">
        <f>IF($A65="","",SUMIF(VENDAS!$B:$B,$A65,VENDAS!$K:$K))</f>
        <v/>
      </c>
      <c r="L65" s="14">
        <f>IF($A65="","",IF(F65&gt;=E65,"FECHADO","ABERTO"))</f>
        <v/>
      </c>
      <c r="M65" s="19">
        <f>IF($A65="","",K65-J65)</f>
        <v/>
      </c>
    </row>
    <row r="66">
      <c r="A66" s="21" t="n"/>
      <c r="B66" s="20">
        <f>IF(OR($A66="",COUNTIF(COMPRAS!$B:$B,$A66)=0),"",MINIFS(COMPRAS!$A:$A,COMPRAS!$B:$B,$A66))</f>
        <v/>
      </c>
      <c r="C66" s="20">
        <f>IF(OR($A66="",COUNTIF(VENDAS!$B:$B,$A66)=0),"",MAXIFS(VENDAS!$A:$A,VENDAS!$B:$B,$A66))</f>
        <v/>
      </c>
      <c r="D66" s="22">
        <f>IF(OR($A66="",B66=""),"",IF(C66="",TODAY()-B66,C66-B66))</f>
        <v/>
      </c>
      <c r="E66" s="22">
        <f>IF($A66="","",SUMIF(COMPRAS!$B:$B,$A66,COMPRAS!$E:$E))</f>
        <v/>
      </c>
      <c r="F66" s="22">
        <f>IF($A66="","",SUMIF(VENDAS!$B:$B,$A66,VENDAS!$D:$D))</f>
        <v/>
      </c>
      <c r="G66" s="23">
        <f>IF($A66="","",SUMIF(COMPRAS!$B:$B,$A66,COMPRAS!$F:$F))</f>
        <v/>
      </c>
      <c r="H66" s="23">
        <f>IF($A66="","",SUMIF(VENDAS!$B:$B,$A66,VENDAS!$E:$E))</f>
        <v/>
      </c>
      <c r="I66" s="23">
        <f>IF($A66="","",H66-G66)</f>
        <v/>
      </c>
      <c r="J66" s="26">
        <f>IF($A66="","",SUMIF(COMPRAS!$B:$B,$A66,COMPRAS!$L:$L))</f>
        <v/>
      </c>
      <c r="K66" s="26">
        <f>IF($A66="","",SUMIF(VENDAS!$B:$B,$A66,VENDAS!$K:$K))</f>
        <v/>
      </c>
      <c r="L66" s="21">
        <f>IF($A66="","",IF(F66&gt;=E66,"FECHADO","ABERTO"))</f>
        <v/>
      </c>
      <c r="M66" s="26">
        <f>IF($A66="","",K66-J66)</f>
        <v/>
      </c>
    </row>
    <row r="67">
      <c r="A67" s="14" t="n"/>
      <c r="B67" s="13">
        <f>IF(OR($A67="",COUNTIF(COMPRAS!$B:$B,$A67)=0),"",MINIFS(COMPRAS!$A:$A,COMPRAS!$B:$B,$A67))</f>
        <v/>
      </c>
      <c r="C67" s="13">
        <f>IF(OR($A67="",COUNTIF(VENDAS!$B:$B,$A67)=0),"",MAXIFS(VENDAS!$A:$A,VENDAS!$B:$B,$A67))</f>
        <v/>
      </c>
      <c r="D67" s="15">
        <f>IF(OR($A67="",B67=""),"",IF(C67="",TODAY()-B67,C67-B67))</f>
        <v/>
      </c>
      <c r="E67" s="15">
        <f>IF($A67="","",SUMIF(COMPRAS!$B:$B,$A67,COMPRAS!$E:$E))</f>
        <v/>
      </c>
      <c r="F67" s="15">
        <f>IF($A67="","",SUMIF(VENDAS!$B:$B,$A67,VENDAS!$D:$D))</f>
        <v/>
      </c>
      <c r="G67" s="16">
        <f>IF($A67="","",SUMIF(COMPRAS!$B:$B,$A67,COMPRAS!$F:$F))</f>
        <v/>
      </c>
      <c r="H67" s="16">
        <f>IF($A67="","",SUMIF(VENDAS!$B:$B,$A67,VENDAS!$E:$E))</f>
        <v/>
      </c>
      <c r="I67" s="16">
        <f>IF($A67="","",H67-G67)</f>
        <v/>
      </c>
      <c r="J67" s="19">
        <f>IF($A67="","",SUMIF(COMPRAS!$B:$B,$A67,COMPRAS!$L:$L))</f>
        <v/>
      </c>
      <c r="K67" s="19">
        <f>IF($A67="","",SUMIF(VENDAS!$B:$B,$A67,VENDAS!$K:$K))</f>
        <v/>
      </c>
      <c r="L67" s="14">
        <f>IF($A67="","",IF(F67&gt;=E67,"FECHADO","ABERTO"))</f>
        <v/>
      </c>
      <c r="M67" s="19">
        <f>IF($A67="","",K67-J67)</f>
        <v/>
      </c>
    </row>
    <row r="68">
      <c r="A68" s="21" t="n"/>
      <c r="B68" s="20">
        <f>IF(OR($A68="",COUNTIF(COMPRAS!$B:$B,$A68)=0),"",MINIFS(COMPRAS!$A:$A,COMPRAS!$B:$B,$A68))</f>
        <v/>
      </c>
      <c r="C68" s="20">
        <f>IF(OR($A68="",COUNTIF(VENDAS!$B:$B,$A68)=0),"",MAXIFS(VENDAS!$A:$A,VENDAS!$B:$B,$A68))</f>
        <v/>
      </c>
      <c r="D68" s="22">
        <f>IF(OR($A68="",B68=""),"",IF(C68="",TODAY()-B68,C68-B68))</f>
        <v/>
      </c>
      <c r="E68" s="22">
        <f>IF($A68="","",SUMIF(COMPRAS!$B:$B,$A68,COMPRAS!$E:$E))</f>
        <v/>
      </c>
      <c r="F68" s="22">
        <f>IF($A68="","",SUMIF(VENDAS!$B:$B,$A68,VENDAS!$D:$D))</f>
        <v/>
      </c>
      <c r="G68" s="23">
        <f>IF($A68="","",SUMIF(COMPRAS!$B:$B,$A68,COMPRAS!$F:$F))</f>
        <v/>
      </c>
      <c r="H68" s="23">
        <f>IF($A68="","",SUMIF(VENDAS!$B:$B,$A68,VENDAS!$E:$E))</f>
        <v/>
      </c>
      <c r="I68" s="23">
        <f>IF($A68="","",H68-G68)</f>
        <v/>
      </c>
      <c r="J68" s="26">
        <f>IF($A68="","",SUMIF(COMPRAS!$B:$B,$A68,COMPRAS!$L:$L))</f>
        <v/>
      </c>
      <c r="K68" s="26">
        <f>IF($A68="","",SUMIF(VENDAS!$B:$B,$A68,VENDAS!$K:$K))</f>
        <v/>
      </c>
      <c r="L68" s="21">
        <f>IF($A68="","",IF(F68&gt;=E68,"FECHADO","ABERTO"))</f>
        <v/>
      </c>
      <c r="M68" s="26">
        <f>IF($A68="","",K68-J68)</f>
        <v/>
      </c>
    </row>
    <row r="69">
      <c r="A69" s="14" t="n"/>
      <c r="B69" s="13">
        <f>IF(OR($A69="",COUNTIF(COMPRAS!$B:$B,$A69)=0),"",MINIFS(COMPRAS!$A:$A,COMPRAS!$B:$B,$A69))</f>
        <v/>
      </c>
      <c r="C69" s="13">
        <f>IF(OR($A69="",COUNTIF(VENDAS!$B:$B,$A69)=0),"",MAXIFS(VENDAS!$A:$A,VENDAS!$B:$B,$A69))</f>
        <v/>
      </c>
      <c r="D69" s="15">
        <f>IF(OR($A69="",B69=""),"",IF(C69="",TODAY()-B69,C69-B69))</f>
        <v/>
      </c>
      <c r="E69" s="15">
        <f>IF($A69="","",SUMIF(COMPRAS!$B:$B,$A69,COMPRAS!$E:$E))</f>
        <v/>
      </c>
      <c r="F69" s="15">
        <f>IF($A69="","",SUMIF(VENDAS!$B:$B,$A69,VENDAS!$D:$D))</f>
        <v/>
      </c>
      <c r="G69" s="16">
        <f>IF($A69="","",SUMIF(COMPRAS!$B:$B,$A69,COMPRAS!$F:$F))</f>
        <v/>
      </c>
      <c r="H69" s="16">
        <f>IF($A69="","",SUMIF(VENDAS!$B:$B,$A69,VENDAS!$E:$E))</f>
        <v/>
      </c>
      <c r="I69" s="16">
        <f>IF($A69="","",H69-G69)</f>
        <v/>
      </c>
      <c r="J69" s="19">
        <f>IF($A69="","",SUMIF(COMPRAS!$B:$B,$A69,COMPRAS!$L:$L))</f>
        <v/>
      </c>
      <c r="K69" s="19">
        <f>IF($A69="","",SUMIF(VENDAS!$B:$B,$A69,VENDAS!$K:$K))</f>
        <v/>
      </c>
      <c r="L69" s="14">
        <f>IF($A69="","",IF(F69&gt;=E69,"FECHADO","ABERTO"))</f>
        <v/>
      </c>
      <c r="M69" s="19">
        <f>IF($A69="","",K69-J69)</f>
        <v/>
      </c>
    </row>
    <row r="70">
      <c r="A70" s="21" t="n"/>
      <c r="B70" s="20">
        <f>IF(OR($A70="",COUNTIF(COMPRAS!$B:$B,$A70)=0),"",MINIFS(COMPRAS!$A:$A,COMPRAS!$B:$B,$A70))</f>
        <v/>
      </c>
      <c r="C70" s="20">
        <f>IF(OR($A70="",COUNTIF(VENDAS!$B:$B,$A70)=0),"",MAXIFS(VENDAS!$A:$A,VENDAS!$B:$B,$A70))</f>
        <v/>
      </c>
      <c r="D70" s="22">
        <f>IF(OR($A70="",B70=""),"",IF(C70="",TODAY()-B70,C70-B70))</f>
        <v/>
      </c>
      <c r="E70" s="22">
        <f>IF($A70="","",SUMIF(COMPRAS!$B:$B,$A70,COMPRAS!$E:$E))</f>
        <v/>
      </c>
      <c r="F70" s="22">
        <f>IF($A70="","",SUMIF(VENDAS!$B:$B,$A70,VENDAS!$D:$D))</f>
        <v/>
      </c>
      <c r="G70" s="23">
        <f>IF($A70="","",SUMIF(COMPRAS!$B:$B,$A70,COMPRAS!$F:$F))</f>
        <v/>
      </c>
      <c r="H70" s="23">
        <f>IF($A70="","",SUMIF(VENDAS!$B:$B,$A70,VENDAS!$E:$E))</f>
        <v/>
      </c>
      <c r="I70" s="23">
        <f>IF($A70="","",H70-G70)</f>
        <v/>
      </c>
      <c r="J70" s="26">
        <f>IF($A70="","",SUMIF(COMPRAS!$B:$B,$A70,COMPRAS!$L:$L))</f>
        <v/>
      </c>
      <c r="K70" s="26">
        <f>IF($A70="","",SUMIF(VENDAS!$B:$B,$A70,VENDAS!$K:$K))</f>
        <v/>
      </c>
      <c r="L70" s="21">
        <f>IF($A70="","",IF(F70&gt;=E70,"FECHADO","ABERTO"))</f>
        <v/>
      </c>
      <c r="M70" s="26">
        <f>IF($A70="","",K70-J70)</f>
        <v/>
      </c>
    </row>
    <row r="71">
      <c r="A71" s="14" t="n"/>
      <c r="B71" s="13">
        <f>IF(OR($A71="",COUNTIF(COMPRAS!$B:$B,$A71)=0),"",MINIFS(COMPRAS!$A:$A,COMPRAS!$B:$B,$A71))</f>
        <v/>
      </c>
      <c r="C71" s="13">
        <f>IF(OR($A71="",COUNTIF(VENDAS!$B:$B,$A71)=0),"",MAXIFS(VENDAS!$A:$A,VENDAS!$B:$B,$A71))</f>
        <v/>
      </c>
      <c r="D71" s="15">
        <f>IF(OR($A71="",B71=""),"",IF(C71="",TODAY()-B71,C71-B71))</f>
        <v/>
      </c>
      <c r="E71" s="15">
        <f>IF($A71="","",SUMIF(COMPRAS!$B:$B,$A71,COMPRAS!$E:$E))</f>
        <v/>
      </c>
      <c r="F71" s="15">
        <f>IF($A71="","",SUMIF(VENDAS!$B:$B,$A71,VENDAS!$D:$D))</f>
        <v/>
      </c>
      <c r="G71" s="16">
        <f>IF($A71="","",SUMIF(COMPRAS!$B:$B,$A71,COMPRAS!$F:$F))</f>
        <v/>
      </c>
      <c r="H71" s="16">
        <f>IF($A71="","",SUMIF(VENDAS!$B:$B,$A71,VENDAS!$E:$E))</f>
        <v/>
      </c>
      <c r="I71" s="16">
        <f>IF($A71="","",H71-G71)</f>
        <v/>
      </c>
      <c r="J71" s="19">
        <f>IF($A71="","",SUMIF(COMPRAS!$B:$B,$A71,COMPRAS!$L:$L))</f>
        <v/>
      </c>
      <c r="K71" s="19">
        <f>IF($A71="","",SUMIF(VENDAS!$B:$B,$A71,VENDAS!$K:$K))</f>
        <v/>
      </c>
      <c r="L71" s="14">
        <f>IF($A71="","",IF(F71&gt;=E71,"FECHADO","ABERTO"))</f>
        <v/>
      </c>
      <c r="M71" s="19">
        <f>IF($A71="","",K71-J71)</f>
        <v/>
      </c>
    </row>
    <row r="72">
      <c r="A72" s="21" t="n"/>
      <c r="B72" s="20">
        <f>IF(OR($A72="",COUNTIF(COMPRAS!$B:$B,$A72)=0),"",MINIFS(COMPRAS!$A:$A,COMPRAS!$B:$B,$A72))</f>
        <v/>
      </c>
      <c r="C72" s="20">
        <f>IF(OR($A72="",COUNTIF(VENDAS!$B:$B,$A72)=0),"",MAXIFS(VENDAS!$A:$A,VENDAS!$B:$B,$A72))</f>
        <v/>
      </c>
      <c r="D72" s="22">
        <f>IF(OR($A72="",B72=""),"",IF(C72="",TODAY()-B72,C72-B72))</f>
        <v/>
      </c>
      <c r="E72" s="22">
        <f>IF($A72="","",SUMIF(COMPRAS!$B:$B,$A72,COMPRAS!$E:$E))</f>
        <v/>
      </c>
      <c r="F72" s="22">
        <f>IF($A72="","",SUMIF(VENDAS!$B:$B,$A72,VENDAS!$D:$D))</f>
        <v/>
      </c>
      <c r="G72" s="23">
        <f>IF($A72="","",SUMIF(COMPRAS!$B:$B,$A72,COMPRAS!$F:$F))</f>
        <v/>
      </c>
      <c r="H72" s="23">
        <f>IF($A72="","",SUMIF(VENDAS!$B:$B,$A72,VENDAS!$E:$E))</f>
        <v/>
      </c>
      <c r="I72" s="23">
        <f>IF($A72="","",H72-G72)</f>
        <v/>
      </c>
      <c r="J72" s="26">
        <f>IF($A72="","",SUMIF(COMPRAS!$B:$B,$A72,COMPRAS!$L:$L))</f>
        <v/>
      </c>
      <c r="K72" s="26">
        <f>IF($A72="","",SUMIF(VENDAS!$B:$B,$A72,VENDAS!$K:$K))</f>
        <v/>
      </c>
      <c r="L72" s="21">
        <f>IF($A72="","",IF(F72&gt;=E72,"FECHADO","ABERTO"))</f>
        <v/>
      </c>
      <c r="M72" s="26">
        <f>IF($A72="","",K72-J72)</f>
        <v/>
      </c>
    </row>
    <row r="73">
      <c r="A73" s="14" t="n"/>
      <c r="B73" s="13">
        <f>IF(OR($A73="",COUNTIF(COMPRAS!$B:$B,$A73)=0),"",MINIFS(COMPRAS!$A:$A,COMPRAS!$B:$B,$A73))</f>
        <v/>
      </c>
      <c r="C73" s="13">
        <f>IF(OR($A73="",COUNTIF(VENDAS!$B:$B,$A73)=0),"",MAXIFS(VENDAS!$A:$A,VENDAS!$B:$B,$A73))</f>
        <v/>
      </c>
      <c r="D73" s="15">
        <f>IF(OR($A73="",B73=""),"",IF(C73="",TODAY()-B73,C73-B73))</f>
        <v/>
      </c>
      <c r="E73" s="15">
        <f>IF($A73="","",SUMIF(COMPRAS!$B:$B,$A73,COMPRAS!$E:$E))</f>
        <v/>
      </c>
      <c r="F73" s="15">
        <f>IF($A73="","",SUMIF(VENDAS!$B:$B,$A73,VENDAS!$D:$D))</f>
        <v/>
      </c>
      <c r="G73" s="16">
        <f>IF($A73="","",SUMIF(COMPRAS!$B:$B,$A73,COMPRAS!$F:$F))</f>
        <v/>
      </c>
      <c r="H73" s="16">
        <f>IF($A73="","",SUMIF(VENDAS!$B:$B,$A73,VENDAS!$E:$E))</f>
        <v/>
      </c>
      <c r="I73" s="16">
        <f>IF($A73="","",H73-G73)</f>
        <v/>
      </c>
      <c r="J73" s="19">
        <f>IF($A73="","",SUMIF(COMPRAS!$B:$B,$A73,COMPRAS!$L:$L))</f>
        <v/>
      </c>
      <c r="K73" s="19">
        <f>IF($A73="","",SUMIF(VENDAS!$B:$B,$A73,VENDAS!$K:$K))</f>
        <v/>
      </c>
      <c r="L73" s="14">
        <f>IF($A73="","",IF(F73&gt;=E73,"FECHADO","ABERTO"))</f>
        <v/>
      </c>
      <c r="M73" s="19">
        <f>IF($A73="","",K73-J73)</f>
        <v/>
      </c>
    </row>
    <row r="74">
      <c r="A74" s="21" t="n"/>
      <c r="B74" s="20">
        <f>IF(OR($A74="",COUNTIF(COMPRAS!$B:$B,$A74)=0),"",MINIFS(COMPRAS!$A:$A,COMPRAS!$B:$B,$A74))</f>
        <v/>
      </c>
      <c r="C74" s="20">
        <f>IF(OR($A74="",COUNTIF(VENDAS!$B:$B,$A74)=0),"",MAXIFS(VENDAS!$A:$A,VENDAS!$B:$B,$A74))</f>
        <v/>
      </c>
      <c r="D74" s="22">
        <f>IF(OR($A74="",B74=""),"",IF(C74="",TODAY()-B74,C74-B74))</f>
        <v/>
      </c>
      <c r="E74" s="22">
        <f>IF($A74="","",SUMIF(COMPRAS!$B:$B,$A74,COMPRAS!$E:$E))</f>
        <v/>
      </c>
      <c r="F74" s="22">
        <f>IF($A74="","",SUMIF(VENDAS!$B:$B,$A74,VENDAS!$D:$D))</f>
        <v/>
      </c>
      <c r="G74" s="23">
        <f>IF($A74="","",SUMIF(COMPRAS!$B:$B,$A74,COMPRAS!$F:$F))</f>
        <v/>
      </c>
      <c r="H74" s="23">
        <f>IF($A74="","",SUMIF(VENDAS!$B:$B,$A74,VENDAS!$E:$E))</f>
        <v/>
      </c>
      <c r="I74" s="23">
        <f>IF($A74="","",H74-G74)</f>
        <v/>
      </c>
      <c r="J74" s="26">
        <f>IF($A74="","",SUMIF(COMPRAS!$B:$B,$A74,COMPRAS!$L:$L))</f>
        <v/>
      </c>
      <c r="K74" s="26">
        <f>IF($A74="","",SUMIF(VENDAS!$B:$B,$A74,VENDAS!$K:$K))</f>
        <v/>
      </c>
      <c r="L74" s="21">
        <f>IF($A74="","",IF(F74&gt;=E74,"FECHADO","ABERTO"))</f>
        <v/>
      </c>
      <c r="M74" s="26">
        <f>IF($A74="","",K74-J74)</f>
        <v/>
      </c>
    </row>
    <row r="75">
      <c r="A75" s="14" t="n"/>
      <c r="B75" s="13">
        <f>IF(OR($A75="",COUNTIF(COMPRAS!$B:$B,$A75)=0),"",MINIFS(COMPRAS!$A:$A,COMPRAS!$B:$B,$A75))</f>
        <v/>
      </c>
      <c r="C75" s="13">
        <f>IF(OR($A75="",COUNTIF(VENDAS!$B:$B,$A75)=0),"",MAXIFS(VENDAS!$A:$A,VENDAS!$B:$B,$A75))</f>
        <v/>
      </c>
      <c r="D75" s="15">
        <f>IF(OR($A75="",B75=""),"",IF(C75="",TODAY()-B75,C75-B75))</f>
        <v/>
      </c>
      <c r="E75" s="15">
        <f>IF($A75="","",SUMIF(COMPRAS!$B:$B,$A75,COMPRAS!$E:$E))</f>
        <v/>
      </c>
      <c r="F75" s="15">
        <f>IF($A75="","",SUMIF(VENDAS!$B:$B,$A75,VENDAS!$D:$D))</f>
        <v/>
      </c>
      <c r="G75" s="16">
        <f>IF($A75="","",SUMIF(COMPRAS!$B:$B,$A75,COMPRAS!$F:$F))</f>
        <v/>
      </c>
      <c r="H75" s="16">
        <f>IF($A75="","",SUMIF(VENDAS!$B:$B,$A75,VENDAS!$E:$E))</f>
        <v/>
      </c>
      <c r="I75" s="16">
        <f>IF($A75="","",H75-G75)</f>
        <v/>
      </c>
      <c r="J75" s="19">
        <f>IF($A75="","",SUMIF(COMPRAS!$B:$B,$A75,COMPRAS!$L:$L))</f>
        <v/>
      </c>
      <c r="K75" s="19">
        <f>IF($A75="","",SUMIF(VENDAS!$B:$B,$A75,VENDAS!$K:$K))</f>
        <v/>
      </c>
      <c r="L75" s="14">
        <f>IF($A75="","",IF(F75&gt;=E75,"FECHADO","ABERTO"))</f>
        <v/>
      </c>
      <c r="M75" s="19">
        <f>IF($A75="","",K75-J75)</f>
        <v/>
      </c>
    </row>
    <row r="76">
      <c r="A76" s="21" t="n"/>
      <c r="B76" s="20">
        <f>IF(OR($A76="",COUNTIF(COMPRAS!$B:$B,$A76)=0),"",MINIFS(COMPRAS!$A:$A,COMPRAS!$B:$B,$A76))</f>
        <v/>
      </c>
      <c r="C76" s="20">
        <f>IF(OR($A76="",COUNTIF(VENDAS!$B:$B,$A76)=0),"",MAXIFS(VENDAS!$A:$A,VENDAS!$B:$B,$A76))</f>
        <v/>
      </c>
      <c r="D76" s="22">
        <f>IF(OR($A76="",B76=""),"",IF(C76="",TODAY()-B76,C76-B76))</f>
        <v/>
      </c>
      <c r="E76" s="22">
        <f>IF($A76="","",SUMIF(COMPRAS!$B:$B,$A76,COMPRAS!$E:$E))</f>
        <v/>
      </c>
      <c r="F76" s="22">
        <f>IF($A76="","",SUMIF(VENDAS!$B:$B,$A76,VENDAS!$D:$D))</f>
        <v/>
      </c>
      <c r="G76" s="23">
        <f>IF($A76="","",SUMIF(COMPRAS!$B:$B,$A76,COMPRAS!$F:$F))</f>
        <v/>
      </c>
      <c r="H76" s="23">
        <f>IF($A76="","",SUMIF(VENDAS!$B:$B,$A76,VENDAS!$E:$E))</f>
        <v/>
      </c>
      <c r="I76" s="23">
        <f>IF($A76="","",H76-G76)</f>
        <v/>
      </c>
      <c r="J76" s="26">
        <f>IF($A76="","",SUMIF(COMPRAS!$B:$B,$A76,COMPRAS!$L:$L))</f>
        <v/>
      </c>
      <c r="K76" s="26">
        <f>IF($A76="","",SUMIF(VENDAS!$B:$B,$A76,VENDAS!$K:$K))</f>
        <v/>
      </c>
      <c r="L76" s="21">
        <f>IF($A76="","",IF(F76&gt;=E76,"FECHADO","ABERTO"))</f>
        <v/>
      </c>
      <c r="M76" s="26">
        <f>IF($A76="","",K76-J76)</f>
        <v/>
      </c>
    </row>
    <row r="77">
      <c r="A77" s="14" t="n"/>
      <c r="B77" s="13">
        <f>IF(OR($A77="",COUNTIF(COMPRAS!$B:$B,$A77)=0),"",MINIFS(COMPRAS!$A:$A,COMPRAS!$B:$B,$A77))</f>
        <v/>
      </c>
      <c r="C77" s="13">
        <f>IF(OR($A77="",COUNTIF(VENDAS!$B:$B,$A77)=0),"",MAXIFS(VENDAS!$A:$A,VENDAS!$B:$B,$A77))</f>
        <v/>
      </c>
      <c r="D77" s="15">
        <f>IF(OR($A77="",B77=""),"",IF(C77="",TODAY()-B77,C77-B77))</f>
        <v/>
      </c>
      <c r="E77" s="15">
        <f>IF($A77="","",SUMIF(COMPRAS!$B:$B,$A77,COMPRAS!$E:$E))</f>
        <v/>
      </c>
      <c r="F77" s="15">
        <f>IF($A77="","",SUMIF(VENDAS!$B:$B,$A77,VENDAS!$D:$D))</f>
        <v/>
      </c>
      <c r="G77" s="16">
        <f>IF($A77="","",SUMIF(COMPRAS!$B:$B,$A77,COMPRAS!$F:$F))</f>
        <v/>
      </c>
      <c r="H77" s="16">
        <f>IF($A77="","",SUMIF(VENDAS!$B:$B,$A77,VENDAS!$E:$E))</f>
        <v/>
      </c>
      <c r="I77" s="16">
        <f>IF($A77="","",H77-G77)</f>
        <v/>
      </c>
      <c r="J77" s="19">
        <f>IF($A77="","",SUMIF(COMPRAS!$B:$B,$A77,COMPRAS!$L:$L))</f>
        <v/>
      </c>
      <c r="K77" s="19">
        <f>IF($A77="","",SUMIF(VENDAS!$B:$B,$A77,VENDAS!$K:$K))</f>
        <v/>
      </c>
      <c r="L77" s="14">
        <f>IF($A77="","",IF(F77&gt;=E77,"FECHADO","ABERTO"))</f>
        <v/>
      </c>
      <c r="M77" s="19">
        <f>IF($A77="","",K77-J77)</f>
        <v/>
      </c>
    </row>
    <row r="78">
      <c r="A78" s="21" t="n"/>
      <c r="B78" s="20">
        <f>IF(OR($A78="",COUNTIF(COMPRAS!$B:$B,$A78)=0),"",MINIFS(COMPRAS!$A:$A,COMPRAS!$B:$B,$A78))</f>
        <v/>
      </c>
      <c r="C78" s="20">
        <f>IF(OR($A78="",COUNTIF(VENDAS!$B:$B,$A78)=0),"",MAXIFS(VENDAS!$A:$A,VENDAS!$B:$B,$A78))</f>
        <v/>
      </c>
      <c r="D78" s="22">
        <f>IF(OR($A78="",B78=""),"",IF(C78="",TODAY()-B78,C78-B78))</f>
        <v/>
      </c>
      <c r="E78" s="22">
        <f>IF($A78="","",SUMIF(COMPRAS!$B:$B,$A78,COMPRAS!$E:$E))</f>
        <v/>
      </c>
      <c r="F78" s="22">
        <f>IF($A78="","",SUMIF(VENDAS!$B:$B,$A78,VENDAS!$D:$D))</f>
        <v/>
      </c>
      <c r="G78" s="23">
        <f>IF($A78="","",SUMIF(COMPRAS!$B:$B,$A78,COMPRAS!$F:$F))</f>
        <v/>
      </c>
      <c r="H78" s="23">
        <f>IF($A78="","",SUMIF(VENDAS!$B:$B,$A78,VENDAS!$E:$E))</f>
        <v/>
      </c>
      <c r="I78" s="23">
        <f>IF($A78="","",H78-G78)</f>
        <v/>
      </c>
      <c r="J78" s="26">
        <f>IF($A78="","",SUMIF(COMPRAS!$B:$B,$A78,COMPRAS!$L:$L))</f>
        <v/>
      </c>
      <c r="K78" s="26">
        <f>IF($A78="","",SUMIF(VENDAS!$B:$B,$A78,VENDAS!$K:$K))</f>
        <v/>
      </c>
      <c r="L78" s="21">
        <f>IF($A78="","",IF(F78&gt;=E78,"FECHADO","ABERTO"))</f>
        <v/>
      </c>
      <c r="M78" s="26">
        <f>IF($A78="","",K78-J78)</f>
        <v/>
      </c>
    </row>
    <row r="79">
      <c r="A79" s="14" t="n"/>
      <c r="B79" s="13">
        <f>IF(OR($A79="",COUNTIF(COMPRAS!$B:$B,$A79)=0),"",MINIFS(COMPRAS!$A:$A,COMPRAS!$B:$B,$A79))</f>
        <v/>
      </c>
      <c r="C79" s="13">
        <f>IF(OR($A79="",COUNTIF(VENDAS!$B:$B,$A79)=0),"",MAXIFS(VENDAS!$A:$A,VENDAS!$B:$B,$A79))</f>
        <v/>
      </c>
      <c r="D79" s="15">
        <f>IF(OR($A79="",B79=""),"",IF(C79="",TODAY()-B79,C79-B79))</f>
        <v/>
      </c>
      <c r="E79" s="15">
        <f>IF($A79="","",SUMIF(COMPRAS!$B:$B,$A79,COMPRAS!$E:$E))</f>
        <v/>
      </c>
      <c r="F79" s="15">
        <f>IF($A79="","",SUMIF(VENDAS!$B:$B,$A79,VENDAS!$D:$D))</f>
        <v/>
      </c>
      <c r="G79" s="16">
        <f>IF($A79="","",SUMIF(COMPRAS!$B:$B,$A79,COMPRAS!$F:$F))</f>
        <v/>
      </c>
      <c r="H79" s="16">
        <f>IF($A79="","",SUMIF(VENDAS!$B:$B,$A79,VENDAS!$E:$E))</f>
        <v/>
      </c>
      <c r="I79" s="16">
        <f>IF($A79="","",H79-G79)</f>
        <v/>
      </c>
      <c r="J79" s="19">
        <f>IF($A79="","",SUMIF(COMPRAS!$B:$B,$A79,COMPRAS!$L:$L))</f>
        <v/>
      </c>
      <c r="K79" s="19">
        <f>IF($A79="","",SUMIF(VENDAS!$B:$B,$A79,VENDAS!$K:$K))</f>
        <v/>
      </c>
      <c r="L79" s="14">
        <f>IF($A79="","",IF(F79&gt;=E79,"FECHADO","ABERTO"))</f>
        <v/>
      </c>
      <c r="M79" s="19">
        <f>IF($A79="","",K79-J79)</f>
        <v/>
      </c>
    </row>
    <row r="80">
      <c r="A80" s="21" t="n"/>
      <c r="B80" s="20">
        <f>IF(OR($A80="",COUNTIF(COMPRAS!$B:$B,$A80)=0),"",MINIFS(COMPRAS!$A:$A,COMPRAS!$B:$B,$A80))</f>
        <v/>
      </c>
      <c r="C80" s="20">
        <f>IF(OR($A80="",COUNTIF(VENDAS!$B:$B,$A80)=0),"",MAXIFS(VENDAS!$A:$A,VENDAS!$B:$B,$A80))</f>
        <v/>
      </c>
      <c r="D80" s="22">
        <f>IF(OR($A80="",B80=""),"",IF(C80="",TODAY()-B80,C80-B80))</f>
        <v/>
      </c>
      <c r="E80" s="22">
        <f>IF($A80="","",SUMIF(COMPRAS!$B:$B,$A80,COMPRAS!$E:$E))</f>
        <v/>
      </c>
      <c r="F80" s="22">
        <f>IF($A80="","",SUMIF(VENDAS!$B:$B,$A80,VENDAS!$D:$D))</f>
        <v/>
      </c>
      <c r="G80" s="23">
        <f>IF($A80="","",SUMIF(COMPRAS!$B:$B,$A80,COMPRAS!$F:$F))</f>
        <v/>
      </c>
      <c r="H80" s="23">
        <f>IF($A80="","",SUMIF(VENDAS!$B:$B,$A80,VENDAS!$E:$E))</f>
        <v/>
      </c>
      <c r="I80" s="23">
        <f>IF($A80="","",H80-G80)</f>
        <v/>
      </c>
      <c r="J80" s="26">
        <f>IF($A80="","",SUMIF(COMPRAS!$B:$B,$A80,COMPRAS!$L:$L))</f>
        <v/>
      </c>
      <c r="K80" s="26">
        <f>IF($A80="","",SUMIF(VENDAS!$B:$B,$A80,VENDAS!$K:$K))</f>
        <v/>
      </c>
      <c r="L80" s="21">
        <f>IF($A80="","",IF(F80&gt;=E80,"FECHADO","ABERTO"))</f>
        <v/>
      </c>
      <c r="M80" s="26">
        <f>IF($A80="","",K80-J80)</f>
        <v/>
      </c>
    </row>
    <row r="81">
      <c r="A81" s="14" t="n"/>
      <c r="B81" s="13">
        <f>IF(OR($A81="",COUNTIF(COMPRAS!$B:$B,$A81)=0),"",MINIFS(COMPRAS!$A:$A,COMPRAS!$B:$B,$A81))</f>
        <v/>
      </c>
      <c r="C81" s="13">
        <f>IF(OR($A81="",COUNTIF(VENDAS!$B:$B,$A81)=0),"",MAXIFS(VENDAS!$A:$A,VENDAS!$B:$B,$A81))</f>
        <v/>
      </c>
      <c r="D81" s="15">
        <f>IF(OR($A81="",B81=""),"",IF(C81="",TODAY()-B81,C81-B81))</f>
        <v/>
      </c>
      <c r="E81" s="15">
        <f>IF($A81="","",SUMIF(COMPRAS!$B:$B,$A81,COMPRAS!$E:$E))</f>
        <v/>
      </c>
      <c r="F81" s="15">
        <f>IF($A81="","",SUMIF(VENDAS!$B:$B,$A81,VENDAS!$D:$D))</f>
        <v/>
      </c>
      <c r="G81" s="16">
        <f>IF($A81="","",SUMIF(COMPRAS!$B:$B,$A81,COMPRAS!$F:$F))</f>
        <v/>
      </c>
      <c r="H81" s="16">
        <f>IF($A81="","",SUMIF(VENDAS!$B:$B,$A81,VENDAS!$E:$E))</f>
        <v/>
      </c>
      <c r="I81" s="16">
        <f>IF($A81="","",H81-G81)</f>
        <v/>
      </c>
      <c r="J81" s="19">
        <f>IF($A81="","",SUMIF(COMPRAS!$B:$B,$A81,COMPRAS!$L:$L))</f>
        <v/>
      </c>
      <c r="K81" s="19">
        <f>IF($A81="","",SUMIF(VENDAS!$B:$B,$A81,VENDAS!$K:$K))</f>
        <v/>
      </c>
      <c r="L81" s="14">
        <f>IF($A81="","",IF(F81&gt;=E81,"FECHADO","ABERTO"))</f>
        <v/>
      </c>
      <c r="M81" s="19">
        <f>IF($A81="","",K81-J81)</f>
        <v/>
      </c>
    </row>
    <row r="82">
      <c r="A82" s="21" t="n"/>
      <c r="B82" s="20">
        <f>IF(OR($A82="",COUNTIF(COMPRAS!$B:$B,$A82)=0),"",MINIFS(COMPRAS!$A:$A,COMPRAS!$B:$B,$A82))</f>
        <v/>
      </c>
      <c r="C82" s="20">
        <f>IF(OR($A82="",COUNTIF(VENDAS!$B:$B,$A82)=0),"",MAXIFS(VENDAS!$A:$A,VENDAS!$B:$B,$A82))</f>
        <v/>
      </c>
      <c r="D82" s="22">
        <f>IF(OR($A82="",B82=""),"",IF(C82="",TODAY()-B82,C82-B82))</f>
        <v/>
      </c>
      <c r="E82" s="22">
        <f>IF($A82="","",SUMIF(COMPRAS!$B:$B,$A82,COMPRAS!$E:$E))</f>
        <v/>
      </c>
      <c r="F82" s="22">
        <f>IF($A82="","",SUMIF(VENDAS!$B:$B,$A82,VENDAS!$D:$D))</f>
        <v/>
      </c>
      <c r="G82" s="23">
        <f>IF($A82="","",SUMIF(COMPRAS!$B:$B,$A82,COMPRAS!$F:$F))</f>
        <v/>
      </c>
      <c r="H82" s="23">
        <f>IF($A82="","",SUMIF(VENDAS!$B:$B,$A82,VENDAS!$E:$E))</f>
        <v/>
      </c>
      <c r="I82" s="23">
        <f>IF($A82="","",H82-G82)</f>
        <v/>
      </c>
      <c r="J82" s="26">
        <f>IF($A82="","",SUMIF(COMPRAS!$B:$B,$A82,COMPRAS!$L:$L))</f>
        <v/>
      </c>
      <c r="K82" s="26">
        <f>IF($A82="","",SUMIF(VENDAS!$B:$B,$A82,VENDAS!$K:$K))</f>
        <v/>
      </c>
      <c r="L82" s="21">
        <f>IF($A82="","",IF(F82&gt;=E82,"FECHADO","ABERTO"))</f>
        <v/>
      </c>
      <c r="M82" s="26">
        <f>IF($A82="","",K82-J82)</f>
        <v/>
      </c>
    </row>
    <row r="83">
      <c r="A83" s="14" t="n"/>
      <c r="B83" s="13">
        <f>IF(OR($A83="",COUNTIF(COMPRAS!$B:$B,$A83)=0),"",MINIFS(COMPRAS!$A:$A,COMPRAS!$B:$B,$A83))</f>
        <v/>
      </c>
      <c r="C83" s="13">
        <f>IF(OR($A83="",COUNTIF(VENDAS!$B:$B,$A83)=0),"",MAXIFS(VENDAS!$A:$A,VENDAS!$B:$B,$A83))</f>
        <v/>
      </c>
      <c r="D83" s="15">
        <f>IF(OR($A83="",B83=""),"",IF(C83="",TODAY()-B83,C83-B83))</f>
        <v/>
      </c>
      <c r="E83" s="15">
        <f>IF($A83="","",SUMIF(COMPRAS!$B:$B,$A83,COMPRAS!$E:$E))</f>
        <v/>
      </c>
      <c r="F83" s="15">
        <f>IF($A83="","",SUMIF(VENDAS!$B:$B,$A83,VENDAS!$D:$D))</f>
        <v/>
      </c>
      <c r="G83" s="16">
        <f>IF($A83="","",SUMIF(COMPRAS!$B:$B,$A83,COMPRAS!$F:$F))</f>
        <v/>
      </c>
      <c r="H83" s="16">
        <f>IF($A83="","",SUMIF(VENDAS!$B:$B,$A83,VENDAS!$E:$E))</f>
        <v/>
      </c>
      <c r="I83" s="16">
        <f>IF($A83="","",H83-G83)</f>
        <v/>
      </c>
      <c r="J83" s="19">
        <f>IF($A83="","",SUMIF(COMPRAS!$B:$B,$A83,COMPRAS!$L:$L))</f>
        <v/>
      </c>
      <c r="K83" s="19">
        <f>IF($A83="","",SUMIF(VENDAS!$B:$B,$A83,VENDAS!$K:$K))</f>
        <v/>
      </c>
      <c r="L83" s="14">
        <f>IF($A83="","",IF(F83&gt;=E83,"FECHADO","ABERTO"))</f>
        <v/>
      </c>
      <c r="M83" s="19">
        <f>IF($A83="","",K83-J83)</f>
        <v/>
      </c>
    </row>
    <row r="84">
      <c r="A84" s="21" t="n"/>
      <c r="B84" s="20">
        <f>IF(OR($A84="",COUNTIF(COMPRAS!$B:$B,$A84)=0),"",MINIFS(COMPRAS!$A:$A,COMPRAS!$B:$B,$A84))</f>
        <v/>
      </c>
      <c r="C84" s="20">
        <f>IF(OR($A84="",COUNTIF(VENDAS!$B:$B,$A84)=0),"",MAXIFS(VENDAS!$A:$A,VENDAS!$B:$B,$A84))</f>
        <v/>
      </c>
      <c r="D84" s="22">
        <f>IF(OR($A84="",B84=""),"",IF(C84="",TODAY()-B84,C84-B84))</f>
        <v/>
      </c>
      <c r="E84" s="22">
        <f>IF($A84="","",SUMIF(COMPRAS!$B:$B,$A84,COMPRAS!$E:$E))</f>
        <v/>
      </c>
      <c r="F84" s="22">
        <f>IF($A84="","",SUMIF(VENDAS!$B:$B,$A84,VENDAS!$D:$D))</f>
        <v/>
      </c>
      <c r="G84" s="23">
        <f>IF($A84="","",SUMIF(COMPRAS!$B:$B,$A84,COMPRAS!$F:$F))</f>
        <v/>
      </c>
      <c r="H84" s="23">
        <f>IF($A84="","",SUMIF(VENDAS!$B:$B,$A84,VENDAS!$E:$E))</f>
        <v/>
      </c>
      <c r="I84" s="23">
        <f>IF($A84="","",H84-G84)</f>
        <v/>
      </c>
      <c r="J84" s="26">
        <f>IF($A84="","",SUMIF(COMPRAS!$B:$B,$A84,COMPRAS!$L:$L))</f>
        <v/>
      </c>
      <c r="K84" s="26">
        <f>IF($A84="","",SUMIF(VENDAS!$B:$B,$A84,VENDAS!$K:$K))</f>
        <v/>
      </c>
      <c r="L84" s="21">
        <f>IF($A84="","",IF(F84&gt;=E84,"FECHADO","ABERTO"))</f>
        <v/>
      </c>
      <c r="M84" s="26">
        <f>IF($A84="","",K84-J84)</f>
        <v/>
      </c>
    </row>
    <row r="85">
      <c r="A85" s="14" t="n"/>
      <c r="B85" s="13">
        <f>IF(OR($A85="",COUNTIF(COMPRAS!$B:$B,$A85)=0),"",MINIFS(COMPRAS!$A:$A,COMPRAS!$B:$B,$A85))</f>
        <v/>
      </c>
      <c r="C85" s="13">
        <f>IF(OR($A85="",COUNTIF(VENDAS!$B:$B,$A85)=0),"",MAXIFS(VENDAS!$A:$A,VENDAS!$B:$B,$A85))</f>
        <v/>
      </c>
      <c r="D85" s="15">
        <f>IF(OR($A85="",B85=""),"",IF(C85="",TODAY()-B85,C85-B85))</f>
        <v/>
      </c>
      <c r="E85" s="15">
        <f>IF($A85="","",SUMIF(COMPRAS!$B:$B,$A85,COMPRAS!$E:$E))</f>
        <v/>
      </c>
      <c r="F85" s="15">
        <f>IF($A85="","",SUMIF(VENDAS!$B:$B,$A85,VENDAS!$D:$D))</f>
        <v/>
      </c>
      <c r="G85" s="16">
        <f>IF($A85="","",SUMIF(COMPRAS!$B:$B,$A85,COMPRAS!$F:$F))</f>
        <v/>
      </c>
      <c r="H85" s="16">
        <f>IF($A85="","",SUMIF(VENDAS!$B:$B,$A85,VENDAS!$E:$E))</f>
        <v/>
      </c>
      <c r="I85" s="16">
        <f>IF($A85="","",H85-G85)</f>
        <v/>
      </c>
      <c r="J85" s="19">
        <f>IF($A85="","",SUMIF(COMPRAS!$B:$B,$A85,COMPRAS!$L:$L))</f>
        <v/>
      </c>
      <c r="K85" s="19">
        <f>IF($A85="","",SUMIF(VENDAS!$B:$B,$A85,VENDAS!$K:$K))</f>
        <v/>
      </c>
      <c r="L85" s="14">
        <f>IF($A85="","",IF(F85&gt;=E85,"FECHADO","ABERTO"))</f>
        <v/>
      </c>
      <c r="M85" s="19">
        <f>IF($A85="","",K85-J85)</f>
        <v/>
      </c>
    </row>
    <row r="86">
      <c r="A86" s="21" t="n"/>
      <c r="B86" s="20">
        <f>IF(OR($A86="",COUNTIF(COMPRAS!$B:$B,$A86)=0),"",MINIFS(COMPRAS!$A:$A,COMPRAS!$B:$B,$A86))</f>
        <v/>
      </c>
      <c r="C86" s="20">
        <f>IF(OR($A86="",COUNTIF(VENDAS!$B:$B,$A86)=0),"",MAXIFS(VENDAS!$A:$A,VENDAS!$B:$B,$A86))</f>
        <v/>
      </c>
      <c r="D86" s="22">
        <f>IF(OR($A86="",B86=""),"",IF(C86="",TODAY()-B86,C86-B86))</f>
        <v/>
      </c>
      <c r="E86" s="22">
        <f>IF($A86="","",SUMIF(COMPRAS!$B:$B,$A86,COMPRAS!$E:$E))</f>
        <v/>
      </c>
      <c r="F86" s="22">
        <f>IF($A86="","",SUMIF(VENDAS!$B:$B,$A86,VENDAS!$D:$D))</f>
        <v/>
      </c>
      <c r="G86" s="23">
        <f>IF($A86="","",SUMIF(COMPRAS!$B:$B,$A86,COMPRAS!$F:$F))</f>
        <v/>
      </c>
      <c r="H86" s="23">
        <f>IF($A86="","",SUMIF(VENDAS!$B:$B,$A86,VENDAS!$E:$E))</f>
        <v/>
      </c>
      <c r="I86" s="23">
        <f>IF($A86="","",H86-G86)</f>
        <v/>
      </c>
      <c r="J86" s="26">
        <f>IF($A86="","",SUMIF(COMPRAS!$B:$B,$A86,COMPRAS!$L:$L))</f>
        <v/>
      </c>
      <c r="K86" s="26">
        <f>IF($A86="","",SUMIF(VENDAS!$B:$B,$A86,VENDAS!$K:$K))</f>
        <v/>
      </c>
      <c r="L86" s="21">
        <f>IF($A86="","",IF(F86&gt;=E86,"FECHADO","ABERTO"))</f>
        <v/>
      </c>
      <c r="M86" s="26">
        <f>IF($A86="","",K86-J86)</f>
        <v/>
      </c>
    </row>
    <row r="87">
      <c r="A87" s="14" t="n"/>
      <c r="B87" s="13">
        <f>IF(OR($A87="",COUNTIF(COMPRAS!$B:$B,$A87)=0),"",MINIFS(COMPRAS!$A:$A,COMPRAS!$B:$B,$A87))</f>
        <v/>
      </c>
      <c r="C87" s="13">
        <f>IF(OR($A87="",COUNTIF(VENDAS!$B:$B,$A87)=0),"",MAXIFS(VENDAS!$A:$A,VENDAS!$B:$B,$A87))</f>
        <v/>
      </c>
      <c r="D87" s="15">
        <f>IF(OR($A87="",B87=""),"",IF(C87="",TODAY()-B87,C87-B87))</f>
        <v/>
      </c>
      <c r="E87" s="15">
        <f>IF($A87="","",SUMIF(COMPRAS!$B:$B,$A87,COMPRAS!$E:$E))</f>
        <v/>
      </c>
      <c r="F87" s="15">
        <f>IF($A87="","",SUMIF(VENDAS!$B:$B,$A87,VENDAS!$D:$D))</f>
        <v/>
      </c>
      <c r="G87" s="16">
        <f>IF($A87="","",SUMIF(COMPRAS!$B:$B,$A87,COMPRAS!$F:$F))</f>
        <v/>
      </c>
      <c r="H87" s="16">
        <f>IF($A87="","",SUMIF(VENDAS!$B:$B,$A87,VENDAS!$E:$E))</f>
        <v/>
      </c>
      <c r="I87" s="16">
        <f>IF($A87="","",H87-G87)</f>
        <v/>
      </c>
      <c r="J87" s="19">
        <f>IF($A87="","",SUMIF(COMPRAS!$B:$B,$A87,COMPRAS!$L:$L))</f>
        <v/>
      </c>
      <c r="K87" s="19">
        <f>IF($A87="","",SUMIF(VENDAS!$B:$B,$A87,VENDAS!$K:$K))</f>
        <v/>
      </c>
      <c r="L87" s="14">
        <f>IF($A87="","",IF(F87&gt;=E87,"FECHADO","ABERTO"))</f>
        <v/>
      </c>
      <c r="M87" s="19">
        <f>IF($A87="","",K87-J87)</f>
        <v/>
      </c>
    </row>
    <row r="88">
      <c r="A88" s="21" t="n"/>
      <c r="B88" s="20">
        <f>IF(OR($A88="",COUNTIF(COMPRAS!$B:$B,$A88)=0),"",MINIFS(COMPRAS!$A:$A,COMPRAS!$B:$B,$A88))</f>
        <v/>
      </c>
      <c r="C88" s="20">
        <f>IF(OR($A88="",COUNTIF(VENDAS!$B:$B,$A88)=0),"",MAXIFS(VENDAS!$A:$A,VENDAS!$B:$B,$A88))</f>
        <v/>
      </c>
      <c r="D88" s="22">
        <f>IF(OR($A88="",B88=""),"",IF(C88="",TODAY()-B88,C88-B88))</f>
        <v/>
      </c>
      <c r="E88" s="22">
        <f>IF($A88="","",SUMIF(COMPRAS!$B:$B,$A88,COMPRAS!$E:$E))</f>
        <v/>
      </c>
      <c r="F88" s="22">
        <f>IF($A88="","",SUMIF(VENDAS!$B:$B,$A88,VENDAS!$D:$D))</f>
        <v/>
      </c>
      <c r="G88" s="23">
        <f>IF($A88="","",SUMIF(COMPRAS!$B:$B,$A88,COMPRAS!$F:$F))</f>
        <v/>
      </c>
      <c r="H88" s="23">
        <f>IF($A88="","",SUMIF(VENDAS!$B:$B,$A88,VENDAS!$E:$E))</f>
        <v/>
      </c>
      <c r="I88" s="23">
        <f>IF($A88="","",H88-G88)</f>
        <v/>
      </c>
      <c r="J88" s="26">
        <f>IF($A88="","",SUMIF(COMPRAS!$B:$B,$A88,COMPRAS!$L:$L))</f>
        <v/>
      </c>
      <c r="K88" s="26">
        <f>IF($A88="","",SUMIF(VENDAS!$B:$B,$A88,VENDAS!$K:$K))</f>
        <v/>
      </c>
      <c r="L88" s="21">
        <f>IF($A88="","",IF(F88&gt;=E88,"FECHADO","ABERTO"))</f>
        <v/>
      </c>
      <c r="M88" s="26">
        <f>IF($A88="","",K88-J88)</f>
        <v/>
      </c>
    </row>
    <row r="89">
      <c r="A89" s="14" t="n"/>
      <c r="B89" s="13">
        <f>IF(OR($A89="",COUNTIF(COMPRAS!$B:$B,$A89)=0),"",MINIFS(COMPRAS!$A:$A,COMPRAS!$B:$B,$A89))</f>
        <v/>
      </c>
      <c r="C89" s="13">
        <f>IF(OR($A89="",COUNTIF(VENDAS!$B:$B,$A89)=0),"",MAXIFS(VENDAS!$A:$A,VENDAS!$B:$B,$A89))</f>
        <v/>
      </c>
      <c r="D89" s="15">
        <f>IF(OR($A89="",B89=""),"",IF(C89="",TODAY()-B89,C89-B89))</f>
        <v/>
      </c>
      <c r="E89" s="15">
        <f>IF($A89="","",SUMIF(COMPRAS!$B:$B,$A89,COMPRAS!$E:$E))</f>
        <v/>
      </c>
      <c r="F89" s="15">
        <f>IF($A89="","",SUMIF(VENDAS!$B:$B,$A89,VENDAS!$D:$D))</f>
        <v/>
      </c>
      <c r="G89" s="16">
        <f>IF($A89="","",SUMIF(COMPRAS!$B:$B,$A89,COMPRAS!$F:$F))</f>
        <v/>
      </c>
      <c r="H89" s="16">
        <f>IF($A89="","",SUMIF(VENDAS!$B:$B,$A89,VENDAS!$E:$E))</f>
        <v/>
      </c>
      <c r="I89" s="16">
        <f>IF($A89="","",H89-G89)</f>
        <v/>
      </c>
      <c r="J89" s="19">
        <f>IF($A89="","",SUMIF(COMPRAS!$B:$B,$A89,COMPRAS!$L:$L))</f>
        <v/>
      </c>
      <c r="K89" s="19">
        <f>IF($A89="","",SUMIF(VENDAS!$B:$B,$A89,VENDAS!$K:$K))</f>
        <v/>
      </c>
      <c r="L89" s="14">
        <f>IF($A89="","",IF(F89&gt;=E89,"FECHADO","ABERTO"))</f>
        <v/>
      </c>
      <c r="M89" s="19">
        <f>IF($A89="","",K89-J89)</f>
        <v/>
      </c>
    </row>
    <row r="90">
      <c r="A90" s="21" t="n"/>
      <c r="B90" s="20">
        <f>IF(OR($A90="",COUNTIF(COMPRAS!$B:$B,$A90)=0),"",MINIFS(COMPRAS!$A:$A,COMPRAS!$B:$B,$A90))</f>
        <v/>
      </c>
      <c r="C90" s="20">
        <f>IF(OR($A90="",COUNTIF(VENDAS!$B:$B,$A90)=0),"",MAXIFS(VENDAS!$A:$A,VENDAS!$B:$B,$A90))</f>
        <v/>
      </c>
      <c r="D90" s="22">
        <f>IF(OR($A90="",B90=""),"",IF(C90="",TODAY()-B90,C90-B90))</f>
        <v/>
      </c>
      <c r="E90" s="22">
        <f>IF($A90="","",SUMIF(COMPRAS!$B:$B,$A90,COMPRAS!$E:$E))</f>
        <v/>
      </c>
      <c r="F90" s="22">
        <f>IF($A90="","",SUMIF(VENDAS!$B:$B,$A90,VENDAS!$D:$D))</f>
        <v/>
      </c>
      <c r="G90" s="23">
        <f>IF($A90="","",SUMIF(COMPRAS!$B:$B,$A90,COMPRAS!$F:$F))</f>
        <v/>
      </c>
      <c r="H90" s="23">
        <f>IF($A90="","",SUMIF(VENDAS!$B:$B,$A90,VENDAS!$E:$E))</f>
        <v/>
      </c>
      <c r="I90" s="23">
        <f>IF($A90="","",H90-G90)</f>
        <v/>
      </c>
      <c r="J90" s="26">
        <f>IF($A90="","",SUMIF(COMPRAS!$B:$B,$A90,COMPRAS!$L:$L))</f>
        <v/>
      </c>
      <c r="K90" s="26">
        <f>IF($A90="","",SUMIF(VENDAS!$B:$B,$A90,VENDAS!$K:$K))</f>
        <v/>
      </c>
      <c r="L90" s="21">
        <f>IF($A90="","",IF(F90&gt;=E90,"FECHADO","ABERTO"))</f>
        <v/>
      </c>
      <c r="M90" s="26">
        <f>IF($A90="","",K90-J90)</f>
        <v/>
      </c>
    </row>
    <row r="91">
      <c r="A91" s="14" t="n"/>
      <c r="B91" s="13">
        <f>IF(OR($A91="",COUNTIF(COMPRAS!$B:$B,$A91)=0),"",MINIFS(COMPRAS!$A:$A,COMPRAS!$B:$B,$A91))</f>
        <v/>
      </c>
      <c r="C91" s="13">
        <f>IF(OR($A91="",COUNTIF(VENDAS!$B:$B,$A91)=0),"",MAXIFS(VENDAS!$A:$A,VENDAS!$B:$B,$A91))</f>
        <v/>
      </c>
      <c r="D91" s="15">
        <f>IF(OR($A91="",B91=""),"",IF(C91="",TODAY()-B91,C91-B91))</f>
        <v/>
      </c>
      <c r="E91" s="15">
        <f>IF($A91="","",SUMIF(COMPRAS!$B:$B,$A91,COMPRAS!$E:$E))</f>
        <v/>
      </c>
      <c r="F91" s="15">
        <f>IF($A91="","",SUMIF(VENDAS!$B:$B,$A91,VENDAS!$D:$D))</f>
        <v/>
      </c>
      <c r="G91" s="16">
        <f>IF($A91="","",SUMIF(COMPRAS!$B:$B,$A91,COMPRAS!$F:$F))</f>
        <v/>
      </c>
      <c r="H91" s="16">
        <f>IF($A91="","",SUMIF(VENDAS!$B:$B,$A91,VENDAS!$E:$E))</f>
        <v/>
      </c>
      <c r="I91" s="16">
        <f>IF($A91="","",H91-G91)</f>
        <v/>
      </c>
      <c r="J91" s="19">
        <f>IF($A91="","",SUMIF(COMPRAS!$B:$B,$A91,COMPRAS!$L:$L))</f>
        <v/>
      </c>
      <c r="K91" s="19">
        <f>IF($A91="","",SUMIF(VENDAS!$B:$B,$A91,VENDAS!$K:$K))</f>
        <v/>
      </c>
      <c r="L91" s="14">
        <f>IF($A91="","",IF(F91&gt;=E91,"FECHADO","ABERTO"))</f>
        <v/>
      </c>
      <c r="M91" s="19">
        <f>IF($A91="","",K91-J91)</f>
        <v/>
      </c>
    </row>
    <row r="92">
      <c r="A92" s="21" t="n"/>
      <c r="B92" s="20">
        <f>IF(OR($A92="",COUNTIF(COMPRAS!$B:$B,$A92)=0),"",MINIFS(COMPRAS!$A:$A,COMPRAS!$B:$B,$A92))</f>
        <v/>
      </c>
      <c r="C92" s="20">
        <f>IF(OR($A92="",COUNTIF(VENDAS!$B:$B,$A92)=0),"",MAXIFS(VENDAS!$A:$A,VENDAS!$B:$B,$A92))</f>
        <v/>
      </c>
      <c r="D92" s="22">
        <f>IF(OR($A92="",B92=""),"",IF(C92="",TODAY()-B92,C92-B92))</f>
        <v/>
      </c>
      <c r="E92" s="22">
        <f>IF($A92="","",SUMIF(COMPRAS!$B:$B,$A92,COMPRAS!$E:$E))</f>
        <v/>
      </c>
      <c r="F92" s="22">
        <f>IF($A92="","",SUMIF(VENDAS!$B:$B,$A92,VENDAS!$D:$D))</f>
        <v/>
      </c>
      <c r="G92" s="23">
        <f>IF($A92="","",SUMIF(COMPRAS!$B:$B,$A92,COMPRAS!$F:$F))</f>
        <v/>
      </c>
      <c r="H92" s="23">
        <f>IF($A92="","",SUMIF(VENDAS!$B:$B,$A92,VENDAS!$E:$E))</f>
        <v/>
      </c>
      <c r="I92" s="23">
        <f>IF($A92="","",H92-G92)</f>
        <v/>
      </c>
      <c r="J92" s="26">
        <f>IF($A92="","",SUMIF(COMPRAS!$B:$B,$A92,COMPRAS!$L:$L))</f>
        <v/>
      </c>
      <c r="K92" s="26">
        <f>IF($A92="","",SUMIF(VENDAS!$B:$B,$A92,VENDAS!$K:$K))</f>
        <v/>
      </c>
      <c r="L92" s="21">
        <f>IF($A92="","",IF(F92&gt;=E92,"FECHADO","ABERTO"))</f>
        <v/>
      </c>
      <c r="M92" s="26">
        <f>IF($A92="","",K92-J92)</f>
        <v/>
      </c>
    </row>
    <row r="93">
      <c r="A93" s="14" t="n"/>
      <c r="B93" s="13">
        <f>IF(OR($A93="",COUNTIF(COMPRAS!$B:$B,$A93)=0),"",MINIFS(COMPRAS!$A:$A,COMPRAS!$B:$B,$A93))</f>
        <v/>
      </c>
      <c r="C93" s="13">
        <f>IF(OR($A93="",COUNTIF(VENDAS!$B:$B,$A93)=0),"",MAXIFS(VENDAS!$A:$A,VENDAS!$B:$B,$A93))</f>
        <v/>
      </c>
      <c r="D93" s="15">
        <f>IF(OR($A93="",B93=""),"",IF(C93="",TODAY()-B93,C93-B93))</f>
        <v/>
      </c>
      <c r="E93" s="15">
        <f>IF($A93="","",SUMIF(COMPRAS!$B:$B,$A93,COMPRAS!$E:$E))</f>
        <v/>
      </c>
      <c r="F93" s="15">
        <f>IF($A93="","",SUMIF(VENDAS!$B:$B,$A93,VENDAS!$D:$D))</f>
        <v/>
      </c>
      <c r="G93" s="16">
        <f>IF($A93="","",SUMIF(COMPRAS!$B:$B,$A93,COMPRAS!$F:$F))</f>
        <v/>
      </c>
      <c r="H93" s="16">
        <f>IF($A93="","",SUMIF(VENDAS!$B:$B,$A93,VENDAS!$E:$E))</f>
        <v/>
      </c>
      <c r="I93" s="16">
        <f>IF($A93="","",H93-G93)</f>
        <v/>
      </c>
      <c r="J93" s="19">
        <f>IF($A93="","",SUMIF(COMPRAS!$B:$B,$A93,COMPRAS!$L:$L))</f>
        <v/>
      </c>
      <c r="K93" s="19">
        <f>IF($A93="","",SUMIF(VENDAS!$B:$B,$A93,VENDAS!$K:$K))</f>
        <v/>
      </c>
      <c r="L93" s="14">
        <f>IF($A93="","",IF(F93&gt;=E93,"FECHADO","ABERTO"))</f>
        <v/>
      </c>
      <c r="M93" s="19">
        <f>IF($A93="","",K93-J93)</f>
        <v/>
      </c>
    </row>
    <row r="94">
      <c r="A94" s="21" t="n"/>
      <c r="B94" s="20">
        <f>IF(OR($A94="",COUNTIF(COMPRAS!$B:$B,$A94)=0),"",MINIFS(COMPRAS!$A:$A,COMPRAS!$B:$B,$A94))</f>
        <v/>
      </c>
      <c r="C94" s="20">
        <f>IF(OR($A94="",COUNTIF(VENDAS!$B:$B,$A94)=0),"",MAXIFS(VENDAS!$A:$A,VENDAS!$B:$B,$A94))</f>
        <v/>
      </c>
      <c r="D94" s="22">
        <f>IF(OR($A94="",B94=""),"",IF(C94="",TODAY()-B94,C94-B94))</f>
        <v/>
      </c>
      <c r="E94" s="22">
        <f>IF($A94="","",SUMIF(COMPRAS!$B:$B,$A94,COMPRAS!$E:$E))</f>
        <v/>
      </c>
      <c r="F94" s="22">
        <f>IF($A94="","",SUMIF(VENDAS!$B:$B,$A94,VENDAS!$D:$D))</f>
        <v/>
      </c>
      <c r="G94" s="23">
        <f>IF($A94="","",SUMIF(COMPRAS!$B:$B,$A94,COMPRAS!$F:$F))</f>
        <v/>
      </c>
      <c r="H94" s="23">
        <f>IF($A94="","",SUMIF(VENDAS!$B:$B,$A94,VENDAS!$E:$E))</f>
        <v/>
      </c>
      <c r="I94" s="23">
        <f>IF($A94="","",H94-G94)</f>
        <v/>
      </c>
      <c r="J94" s="26">
        <f>IF($A94="","",SUMIF(COMPRAS!$B:$B,$A94,COMPRAS!$L:$L))</f>
        <v/>
      </c>
      <c r="K94" s="26">
        <f>IF($A94="","",SUMIF(VENDAS!$B:$B,$A94,VENDAS!$K:$K))</f>
        <v/>
      </c>
      <c r="L94" s="21">
        <f>IF($A94="","",IF(F94&gt;=E94,"FECHADO","ABERTO"))</f>
        <v/>
      </c>
      <c r="M94" s="26">
        <f>IF($A94="","",K94-J94)</f>
        <v/>
      </c>
    </row>
    <row r="95">
      <c r="A95" s="14" t="n"/>
      <c r="B95" s="13">
        <f>IF(OR($A95="",COUNTIF(COMPRAS!$B:$B,$A95)=0),"",MINIFS(COMPRAS!$A:$A,COMPRAS!$B:$B,$A95))</f>
        <v/>
      </c>
      <c r="C95" s="13">
        <f>IF(OR($A95="",COUNTIF(VENDAS!$B:$B,$A95)=0),"",MAXIFS(VENDAS!$A:$A,VENDAS!$B:$B,$A95))</f>
        <v/>
      </c>
      <c r="D95" s="15">
        <f>IF(OR($A95="",B95=""),"",IF(C95="",TODAY()-B95,C95-B95))</f>
        <v/>
      </c>
      <c r="E95" s="15">
        <f>IF($A95="","",SUMIF(COMPRAS!$B:$B,$A95,COMPRAS!$E:$E))</f>
        <v/>
      </c>
      <c r="F95" s="15">
        <f>IF($A95="","",SUMIF(VENDAS!$B:$B,$A95,VENDAS!$D:$D))</f>
        <v/>
      </c>
      <c r="G95" s="16">
        <f>IF($A95="","",SUMIF(COMPRAS!$B:$B,$A95,COMPRAS!$F:$F))</f>
        <v/>
      </c>
      <c r="H95" s="16">
        <f>IF($A95="","",SUMIF(VENDAS!$B:$B,$A95,VENDAS!$E:$E))</f>
        <v/>
      </c>
      <c r="I95" s="16">
        <f>IF($A95="","",H95-G95)</f>
        <v/>
      </c>
      <c r="J95" s="19">
        <f>IF($A95="","",SUMIF(COMPRAS!$B:$B,$A95,COMPRAS!$L:$L))</f>
        <v/>
      </c>
      <c r="K95" s="19">
        <f>IF($A95="","",SUMIF(VENDAS!$B:$B,$A95,VENDAS!$K:$K))</f>
        <v/>
      </c>
      <c r="L95" s="14">
        <f>IF($A95="","",IF(F95&gt;=E95,"FECHADO","ABERTO"))</f>
        <v/>
      </c>
      <c r="M95" s="19">
        <f>IF($A95="","",K95-J95)</f>
        <v/>
      </c>
    </row>
    <row r="96">
      <c r="A96" s="21" t="n"/>
      <c r="B96" s="20">
        <f>IF(OR($A96="",COUNTIF(COMPRAS!$B:$B,$A96)=0),"",MINIFS(COMPRAS!$A:$A,COMPRAS!$B:$B,$A96))</f>
        <v/>
      </c>
      <c r="C96" s="20">
        <f>IF(OR($A96="",COUNTIF(VENDAS!$B:$B,$A96)=0),"",MAXIFS(VENDAS!$A:$A,VENDAS!$B:$B,$A96))</f>
        <v/>
      </c>
      <c r="D96" s="22">
        <f>IF(OR($A96="",B96=""),"",IF(C96="",TODAY()-B96,C96-B96))</f>
        <v/>
      </c>
      <c r="E96" s="22">
        <f>IF($A96="","",SUMIF(COMPRAS!$B:$B,$A96,COMPRAS!$E:$E))</f>
        <v/>
      </c>
      <c r="F96" s="22">
        <f>IF($A96="","",SUMIF(VENDAS!$B:$B,$A96,VENDAS!$D:$D))</f>
        <v/>
      </c>
      <c r="G96" s="23">
        <f>IF($A96="","",SUMIF(COMPRAS!$B:$B,$A96,COMPRAS!$F:$F))</f>
        <v/>
      </c>
      <c r="H96" s="23">
        <f>IF($A96="","",SUMIF(VENDAS!$B:$B,$A96,VENDAS!$E:$E))</f>
        <v/>
      </c>
      <c r="I96" s="23">
        <f>IF($A96="","",H96-G96)</f>
        <v/>
      </c>
      <c r="J96" s="26">
        <f>IF($A96="","",SUMIF(COMPRAS!$B:$B,$A96,COMPRAS!$L:$L))</f>
        <v/>
      </c>
      <c r="K96" s="26">
        <f>IF($A96="","",SUMIF(VENDAS!$B:$B,$A96,VENDAS!$K:$K))</f>
        <v/>
      </c>
      <c r="L96" s="21">
        <f>IF($A96="","",IF(F96&gt;=E96,"FECHADO","ABERTO"))</f>
        <v/>
      </c>
      <c r="M96" s="26">
        <f>IF($A96="","",K96-J96)</f>
        <v/>
      </c>
    </row>
    <row r="97">
      <c r="A97" s="14" t="n"/>
      <c r="B97" s="13">
        <f>IF(OR($A97="",COUNTIF(COMPRAS!$B:$B,$A97)=0),"",MINIFS(COMPRAS!$A:$A,COMPRAS!$B:$B,$A97))</f>
        <v/>
      </c>
      <c r="C97" s="13">
        <f>IF(OR($A97="",COUNTIF(VENDAS!$B:$B,$A97)=0),"",MAXIFS(VENDAS!$A:$A,VENDAS!$B:$B,$A97))</f>
        <v/>
      </c>
      <c r="D97" s="15">
        <f>IF(OR($A97="",B97=""),"",IF(C97="",TODAY()-B97,C97-B97))</f>
        <v/>
      </c>
      <c r="E97" s="15">
        <f>IF($A97="","",SUMIF(COMPRAS!$B:$B,$A97,COMPRAS!$E:$E))</f>
        <v/>
      </c>
      <c r="F97" s="15">
        <f>IF($A97="","",SUMIF(VENDAS!$B:$B,$A97,VENDAS!$D:$D))</f>
        <v/>
      </c>
      <c r="G97" s="16">
        <f>IF($A97="","",SUMIF(COMPRAS!$B:$B,$A97,COMPRAS!$F:$F))</f>
        <v/>
      </c>
      <c r="H97" s="16">
        <f>IF($A97="","",SUMIF(VENDAS!$B:$B,$A97,VENDAS!$E:$E))</f>
        <v/>
      </c>
      <c r="I97" s="16">
        <f>IF($A97="","",H97-G97)</f>
        <v/>
      </c>
      <c r="J97" s="19">
        <f>IF($A97="","",SUMIF(COMPRAS!$B:$B,$A97,COMPRAS!$L:$L))</f>
        <v/>
      </c>
      <c r="K97" s="19">
        <f>IF($A97="","",SUMIF(VENDAS!$B:$B,$A97,VENDAS!$K:$K))</f>
        <v/>
      </c>
      <c r="L97" s="14">
        <f>IF($A97="","",IF(F97&gt;=E97,"FECHADO","ABERTO"))</f>
        <v/>
      </c>
      <c r="M97" s="19">
        <f>IF($A97="","",K97-J97)</f>
        <v/>
      </c>
    </row>
    <row r="98">
      <c r="A98" s="21" t="n"/>
      <c r="B98" s="20">
        <f>IF(OR($A98="",COUNTIF(COMPRAS!$B:$B,$A98)=0),"",MINIFS(COMPRAS!$A:$A,COMPRAS!$B:$B,$A98))</f>
        <v/>
      </c>
      <c r="C98" s="20">
        <f>IF(OR($A98="",COUNTIF(VENDAS!$B:$B,$A98)=0),"",MAXIFS(VENDAS!$A:$A,VENDAS!$B:$B,$A98))</f>
        <v/>
      </c>
      <c r="D98" s="22">
        <f>IF(OR($A98="",B98=""),"",IF(C98="",TODAY()-B98,C98-B98))</f>
        <v/>
      </c>
      <c r="E98" s="22">
        <f>IF($A98="","",SUMIF(COMPRAS!$B:$B,$A98,COMPRAS!$E:$E))</f>
        <v/>
      </c>
      <c r="F98" s="22">
        <f>IF($A98="","",SUMIF(VENDAS!$B:$B,$A98,VENDAS!$D:$D))</f>
        <v/>
      </c>
      <c r="G98" s="23">
        <f>IF($A98="","",SUMIF(COMPRAS!$B:$B,$A98,COMPRAS!$F:$F))</f>
        <v/>
      </c>
      <c r="H98" s="23">
        <f>IF($A98="","",SUMIF(VENDAS!$B:$B,$A98,VENDAS!$E:$E))</f>
        <v/>
      </c>
      <c r="I98" s="23">
        <f>IF($A98="","",H98-G98)</f>
        <v/>
      </c>
      <c r="J98" s="26">
        <f>IF($A98="","",SUMIF(COMPRAS!$B:$B,$A98,COMPRAS!$L:$L))</f>
        <v/>
      </c>
      <c r="K98" s="26">
        <f>IF($A98="","",SUMIF(VENDAS!$B:$B,$A98,VENDAS!$K:$K))</f>
        <v/>
      </c>
      <c r="L98" s="21">
        <f>IF($A98="","",IF(F98&gt;=E98,"FECHADO","ABERTO"))</f>
        <v/>
      </c>
      <c r="M98" s="26">
        <f>IF($A98="","",K98-J98)</f>
        <v/>
      </c>
    </row>
    <row r="99">
      <c r="A99" s="14" t="n"/>
      <c r="B99" s="13">
        <f>IF(OR($A99="",COUNTIF(COMPRAS!$B:$B,$A99)=0),"",MINIFS(COMPRAS!$A:$A,COMPRAS!$B:$B,$A99))</f>
        <v/>
      </c>
      <c r="C99" s="13">
        <f>IF(OR($A99="",COUNTIF(VENDAS!$B:$B,$A99)=0),"",MAXIFS(VENDAS!$A:$A,VENDAS!$B:$B,$A99))</f>
        <v/>
      </c>
      <c r="D99" s="15">
        <f>IF(OR($A99="",B99=""),"",IF(C99="",TODAY()-B99,C99-B99))</f>
        <v/>
      </c>
      <c r="E99" s="15">
        <f>IF($A99="","",SUMIF(COMPRAS!$B:$B,$A99,COMPRAS!$E:$E))</f>
        <v/>
      </c>
      <c r="F99" s="15">
        <f>IF($A99="","",SUMIF(VENDAS!$B:$B,$A99,VENDAS!$D:$D))</f>
        <v/>
      </c>
      <c r="G99" s="16">
        <f>IF($A99="","",SUMIF(COMPRAS!$B:$B,$A99,COMPRAS!$F:$F))</f>
        <v/>
      </c>
      <c r="H99" s="16">
        <f>IF($A99="","",SUMIF(VENDAS!$B:$B,$A99,VENDAS!$E:$E))</f>
        <v/>
      </c>
      <c r="I99" s="16">
        <f>IF($A99="","",H99-G99)</f>
        <v/>
      </c>
      <c r="J99" s="19">
        <f>IF($A99="","",SUMIF(COMPRAS!$B:$B,$A99,COMPRAS!$L:$L))</f>
        <v/>
      </c>
      <c r="K99" s="19">
        <f>IF($A99="","",SUMIF(VENDAS!$B:$B,$A99,VENDAS!$K:$K))</f>
        <v/>
      </c>
      <c r="L99" s="14">
        <f>IF($A99="","",IF(F99&gt;=E99,"FECHADO","ABERTO"))</f>
        <v/>
      </c>
      <c r="M99" s="19">
        <f>IF($A99="","",K99-J99)</f>
        <v/>
      </c>
    </row>
    <row r="100">
      <c r="A100" s="21" t="n"/>
      <c r="B100" s="20">
        <f>IF(OR($A100="",COUNTIF(COMPRAS!$B:$B,$A100)=0),"",MINIFS(COMPRAS!$A:$A,COMPRAS!$B:$B,$A100))</f>
        <v/>
      </c>
      <c r="C100" s="20">
        <f>IF(OR($A100="",COUNTIF(VENDAS!$B:$B,$A100)=0),"",MAXIFS(VENDAS!$A:$A,VENDAS!$B:$B,$A100))</f>
        <v/>
      </c>
      <c r="D100" s="22">
        <f>IF(OR($A100="",B100=""),"",IF(C100="",TODAY()-B100,C100-B100))</f>
        <v/>
      </c>
      <c r="E100" s="22">
        <f>IF($A100="","",SUMIF(COMPRAS!$B:$B,$A100,COMPRAS!$E:$E))</f>
        <v/>
      </c>
      <c r="F100" s="22">
        <f>IF($A100="","",SUMIF(VENDAS!$B:$B,$A100,VENDAS!$D:$D))</f>
        <v/>
      </c>
      <c r="G100" s="23">
        <f>IF($A100="","",SUMIF(COMPRAS!$B:$B,$A100,COMPRAS!$F:$F))</f>
        <v/>
      </c>
      <c r="H100" s="23">
        <f>IF($A100="","",SUMIF(VENDAS!$B:$B,$A100,VENDAS!$E:$E))</f>
        <v/>
      </c>
      <c r="I100" s="23">
        <f>IF($A100="","",H100-G100)</f>
        <v/>
      </c>
      <c r="J100" s="26">
        <f>IF($A100="","",SUMIF(COMPRAS!$B:$B,$A100,COMPRAS!$L:$L))</f>
        <v/>
      </c>
      <c r="K100" s="26">
        <f>IF($A100="","",SUMIF(VENDAS!$B:$B,$A100,VENDAS!$K:$K))</f>
        <v/>
      </c>
      <c r="L100" s="21">
        <f>IF($A100="","",IF(F100&gt;=E100,"FECHADO","ABERTO"))</f>
        <v/>
      </c>
      <c r="M100" s="26">
        <f>IF($A100="","",K100-J100)</f>
        <v/>
      </c>
    </row>
    <row r="101">
      <c r="A101" s="14" t="n"/>
      <c r="B101" s="13">
        <f>IF(OR($A101="",COUNTIF(COMPRAS!$B:$B,$A101)=0),"",MINIFS(COMPRAS!$A:$A,COMPRAS!$B:$B,$A101))</f>
        <v/>
      </c>
      <c r="C101" s="13">
        <f>IF(OR($A101="",COUNTIF(VENDAS!$B:$B,$A101)=0),"",MAXIFS(VENDAS!$A:$A,VENDAS!$B:$B,$A101))</f>
        <v/>
      </c>
      <c r="D101" s="15">
        <f>IF(OR($A101="",B101=""),"",IF(C101="",TODAY()-B101,C101-B101))</f>
        <v/>
      </c>
      <c r="E101" s="15">
        <f>IF($A101="","",SUMIF(COMPRAS!$B:$B,$A101,COMPRAS!$E:$E))</f>
        <v/>
      </c>
      <c r="F101" s="15">
        <f>IF($A101="","",SUMIF(VENDAS!$B:$B,$A101,VENDAS!$D:$D))</f>
        <v/>
      </c>
      <c r="G101" s="16">
        <f>IF($A101="","",SUMIF(COMPRAS!$B:$B,$A101,COMPRAS!$F:$F))</f>
        <v/>
      </c>
      <c r="H101" s="16">
        <f>IF($A101="","",SUMIF(VENDAS!$B:$B,$A101,VENDAS!$E:$E))</f>
        <v/>
      </c>
      <c r="I101" s="16">
        <f>IF($A101="","",H101-G101)</f>
        <v/>
      </c>
      <c r="J101" s="19">
        <f>IF($A101="","",SUMIF(COMPRAS!$B:$B,$A101,COMPRAS!$L:$L))</f>
        <v/>
      </c>
      <c r="K101" s="19">
        <f>IF($A101="","",SUMIF(VENDAS!$B:$B,$A101,VENDAS!$K:$K))</f>
        <v/>
      </c>
      <c r="L101" s="14">
        <f>IF($A101="","",IF(F101&gt;=E101,"FECHADO","ABERTO"))</f>
        <v/>
      </c>
      <c r="M101" s="19">
        <f>IF($A101="","",K101-J101)</f>
        <v/>
      </c>
    </row>
    <row r="102">
      <c r="A102" s="21" t="n"/>
      <c r="B102" s="20">
        <f>IF(OR($A102="",COUNTIF(COMPRAS!$B:$B,$A102)=0),"",MINIFS(COMPRAS!$A:$A,COMPRAS!$B:$B,$A102))</f>
        <v/>
      </c>
      <c r="C102" s="20">
        <f>IF(OR($A102="",COUNTIF(VENDAS!$B:$B,$A102)=0),"",MAXIFS(VENDAS!$A:$A,VENDAS!$B:$B,$A102))</f>
        <v/>
      </c>
      <c r="D102" s="22">
        <f>IF(OR($A102="",B102=""),"",IF(C102="",TODAY()-B102,C102-B102))</f>
        <v/>
      </c>
      <c r="E102" s="22">
        <f>IF($A102="","",SUMIF(COMPRAS!$B:$B,$A102,COMPRAS!$E:$E))</f>
        <v/>
      </c>
      <c r="F102" s="22">
        <f>IF($A102="","",SUMIF(VENDAS!$B:$B,$A102,VENDAS!$D:$D))</f>
        <v/>
      </c>
      <c r="G102" s="23">
        <f>IF($A102="","",SUMIF(COMPRAS!$B:$B,$A102,COMPRAS!$F:$F))</f>
        <v/>
      </c>
      <c r="H102" s="23">
        <f>IF($A102="","",SUMIF(VENDAS!$B:$B,$A102,VENDAS!$E:$E))</f>
        <v/>
      </c>
      <c r="I102" s="23">
        <f>IF($A102="","",H102-G102)</f>
        <v/>
      </c>
      <c r="J102" s="26">
        <f>IF($A102="","",SUMIF(COMPRAS!$B:$B,$A102,COMPRAS!$L:$L))</f>
        <v/>
      </c>
      <c r="K102" s="26">
        <f>IF($A102="","",SUMIF(VENDAS!$B:$B,$A102,VENDAS!$K:$K))</f>
        <v/>
      </c>
      <c r="L102" s="21">
        <f>IF($A102="","",IF(F102&gt;=E102,"FECHADO","ABERTO"))</f>
        <v/>
      </c>
      <c r="M102" s="26">
        <f>IF($A102="","",K102-J102)</f>
        <v/>
      </c>
    </row>
    <row r="103">
      <c r="A103" s="14" t="n"/>
      <c r="B103" s="13">
        <f>IF(OR($A103="",COUNTIF(COMPRAS!$B:$B,$A103)=0),"",MINIFS(COMPRAS!$A:$A,COMPRAS!$B:$B,$A103))</f>
        <v/>
      </c>
      <c r="C103" s="13">
        <f>IF(OR($A103="",COUNTIF(VENDAS!$B:$B,$A103)=0),"",MAXIFS(VENDAS!$A:$A,VENDAS!$B:$B,$A103))</f>
        <v/>
      </c>
      <c r="D103" s="15">
        <f>IF(OR($A103="",B103=""),"",IF(C103="",TODAY()-B103,C103-B103))</f>
        <v/>
      </c>
      <c r="E103" s="15">
        <f>IF($A103="","",SUMIF(COMPRAS!$B:$B,$A103,COMPRAS!$E:$E))</f>
        <v/>
      </c>
      <c r="F103" s="15">
        <f>IF($A103="","",SUMIF(VENDAS!$B:$B,$A103,VENDAS!$D:$D))</f>
        <v/>
      </c>
      <c r="G103" s="16">
        <f>IF($A103="","",SUMIF(COMPRAS!$B:$B,$A103,COMPRAS!$F:$F))</f>
        <v/>
      </c>
      <c r="H103" s="16">
        <f>IF($A103="","",SUMIF(VENDAS!$B:$B,$A103,VENDAS!$E:$E))</f>
        <v/>
      </c>
      <c r="I103" s="16">
        <f>IF($A103="","",H103-G103)</f>
        <v/>
      </c>
      <c r="J103" s="19">
        <f>IF($A103="","",SUMIF(COMPRAS!$B:$B,$A103,COMPRAS!$L:$L))</f>
        <v/>
      </c>
      <c r="K103" s="19">
        <f>IF($A103="","",SUMIF(VENDAS!$B:$B,$A103,VENDAS!$K:$K))</f>
        <v/>
      </c>
      <c r="L103" s="14">
        <f>IF($A103="","",IF(F103&gt;=E103,"FECHADO","ABERTO"))</f>
        <v/>
      </c>
      <c r="M103" s="19">
        <f>IF($A103="","",K103-J103)</f>
        <v/>
      </c>
    </row>
    <row r="104">
      <c r="A104" s="21" t="n"/>
      <c r="B104" s="20">
        <f>IF(OR($A104="",COUNTIF(COMPRAS!$B:$B,$A104)=0),"",MINIFS(COMPRAS!$A:$A,COMPRAS!$B:$B,$A104))</f>
        <v/>
      </c>
      <c r="C104" s="20">
        <f>IF(OR($A104="",COUNTIF(VENDAS!$B:$B,$A104)=0),"",MAXIFS(VENDAS!$A:$A,VENDAS!$B:$B,$A104))</f>
        <v/>
      </c>
      <c r="D104" s="22">
        <f>IF(OR($A104="",B104=""),"",IF(C104="",TODAY()-B104,C104-B104))</f>
        <v/>
      </c>
      <c r="E104" s="22">
        <f>IF($A104="","",SUMIF(COMPRAS!$B:$B,$A104,COMPRAS!$E:$E))</f>
        <v/>
      </c>
      <c r="F104" s="22">
        <f>IF($A104="","",SUMIF(VENDAS!$B:$B,$A104,VENDAS!$D:$D))</f>
        <v/>
      </c>
      <c r="G104" s="23">
        <f>IF($A104="","",SUMIF(COMPRAS!$B:$B,$A104,COMPRAS!$F:$F))</f>
        <v/>
      </c>
      <c r="H104" s="23">
        <f>IF($A104="","",SUMIF(VENDAS!$B:$B,$A104,VENDAS!$E:$E))</f>
        <v/>
      </c>
      <c r="I104" s="23">
        <f>IF($A104="","",H104-G104)</f>
        <v/>
      </c>
      <c r="J104" s="26">
        <f>IF($A104="","",SUMIF(COMPRAS!$B:$B,$A104,COMPRAS!$L:$L))</f>
        <v/>
      </c>
      <c r="K104" s="26">
        <f>IF($A104="","",SUMIF(VENDAS!$B:$B,$A104,VENDAS!$K:$K))</f>
        <v/>
      </c>
      <c r="L104" s="21">
        <f>IF($A104="","",IF(F104&gt;=E104,"FECHADO","ABERTO"))</f>
        <v/>
      </c>
      <c r="M104" s="26">
        <f>IF($A104="","",K104-J104)</f>
        <v/>
      </c>
    </row>
    <row r="105">
      <c r="A105" s="14" t="n"/>
      <c r="B105" s="13">
        <f>IF(OR($A105="",COUNTIF(COMPRAS!$B:$B,$A105)=0),"",MINIFS(COMPRAS!$A:$A,COMPRAS!$B:$B,$A105))</f>
        <v/>
      </c>
      <c r="C105" s="13">
        <f>IF(OR($A105="",COUNTIF(VENDAS!$B:$B,$A105)=0),"",MAXIFS(VENDAS!$A:$A,VENDAS!$B:$B,$A105))</f>
        <v/>
      </c>
      <c r="D105" s="15">
        <f>IF(OR($A105="",B105=""),"",IF(C105="",TODAY()-B105,C105-B105))</f>
        <v/>
      </c>
      <c r="E105" s="15">
        <f>IF($A105="","",SUMIF(COMPRAS!$B:$B,$A105,COMPRAS!$E:$E))</f>
        <v/>
      </c>
      <c r="F105" s="15">
        <f>IF($A105="","",SUMIF(VENDAS!$B:$B,$A105,VENDAS!$D:$D))</f>
        <v/>
      </c>
      <c r="G105" s="16">
        <f>IF($A105="","",SUMIF(COMPRAS!$B:$B,$A105,COMPRAS!$F:$F))</f>
        <v/>
      </c>
      <c r="H105" s="16">
        <f>IF($A105="","",SUMIF(VENDAS!$B:$B,$A105,VENDAS!$E:$E))</f>
        <v/>
      </c>
      <c r="I105" s="16">
        <f>IF($A105="","",H105-G105)</f>
        <v/>
      </c>
      <c r="J105" s="19">
        <f>IF($A105="","",SUMIF(COMPRAS!$B:$B,$A105,COMPRAS!$L:$L))</f>
        <v/>
      </c>
      <c r="K105" s="19">
        <f>IF($A105="","",SUMIF(VENDAS!$B:$B,$A105,VENDAS!$K:$K))</f>
        <v/>
      </c>
      <c r="L105" s="14">
        <f>IF($A105="","",IF(F105&gt;=E105,"FECHADO","ABERTO"))</f>
        <v/>
      </c>
      <c r="M105" s="19">
        <f>IF($A105="","",K105-J105)</f>
        <v/>
      </c>
    </row>
    <row r="106">
      <c r="A106" s="21" t="n"/>
      <c r="B106" s="20">
        <f>IF(OR($A106="",COUNTIF(COMPRAS!$B:$B,$A106)=0),"",MINIFS(COMPRAS!$A:$A,COMPRAS!$B:$B,$A106))</f>
        <v/>
      </c>
      <c r="C106" s="20">
        <f>IF(OR($A106="",COUNTIF(VENDAS!$B:$B,$A106)=0),"",MAXIFS(VENDAS!$A:$A,VENDAS!$B:$B,$A106))</f>
        <v/>
      </c>
      <c r="D106" s="22">
        <f>IF(OR($A106="",B106=""),"",IF(C106="",TODAY()-B106,C106-B106))</f>
        <v/>
      </c>
      <c r="E106" s="22">
        <f>IF($A106="","",SUMIF(COMPRAS!$B:$B,$A106,COMPRAS!$E:$E))</f>
        <v/>
      </c>
      <c r="F106" s="22">
        <f>IF($A106="","",SUMIF(VENDAS!$B:$B,$A106,VENDAS!$D:$D))</f>
        <v/>
      </c>
      <c r="G106" s="23">
        <f>IF($A106="","",SUMIF(COMPRAS!$B:$B,$A106,COMPRAS!$F:$F))</f>
        <v/>
      </c>
      <c r="H106" s="23">
        <f>IF($A106="","",SUMIF(VENDAS!$B:$B,$A106,VENDAS!$E:$E))</f>
        <v/>
      </c>
      <c r="I106" s="23">
        <f>IF($A106="","",H106-G106)</f>
        <v/>
      </c>
      <c r="J106" s="26">
        <f>IF($A106="","",SUMIF(COMPRAS!$B:$B,$A106,COMPRAS!$L:$L))</f>
        <v/>
      </c>
      <c r="K106" s="26">
        <f>IF($A106="","",SUMIF(VENDAS!$B:$B,$A106,VENDAS!$K:$K))</f>
        <v/>
      </c>
      <c r="L106" s="21">
        <f>IF($A106="","",IF(F106&gt;=E106,"FECHADO","ABERTO"))</f>
        <v/>
      </c>
      <c r="M106" s="26">
        <f>IF($A106="","",K106-J106)</f>
        <v/>
      </c>
    </row>
    <row r="107">
      <c r="A107" s="14" t="n"/>
      <c r="B107" s="13">
        <f>IF(OR($A107="",COUNTIF(COMPRAS!$B:$B,$A107)=0),"",MINIFS(COMPRAS!$A:$A,COMPRAS!$B:$B,$A107))</f>
        <v/>
      </c>
      <c r="C107" s="13">
        <f>IF(OR($A107="",COUNTIF(VENDAS!$B:$B,$A107)=0),"",MAXIFS(VENDAS!$A:$A,VENDAS!$B:$B,$A107))</f>
        <v/>
      </c>
      <c r="D107" s="15">
        <f>IF(OR($A107="",B107=""),"",IF(C107="",TODAY()-B107,C107-B107))</f>
        <v/>
      </c>
      <c r="E107" s="15">
        <f>IF($A107="","",SUMIF(COMPRAS!$B:$B,$A107,COMPRAS!$E:$E))</f>
        <v/>
      </c>
      <c r="F107" s="15">
        <f>IF($A107="","",SUMIF(VENDAS!$B:$B,$A107,VENDAS!$D:$D))</f>
        <v/>
      </c>
      <c r="G107" s="16">
        <f>IF($A107="","",SUMIF(COMPRAS!$B:$B,$A107,COMPRAS!$F:$F))</f>
        <v/>
      </c>
      <c r="H107" s="16">
        <f>IF($A107="","",SUMIF(VENDAS!$B:$B,$A107,VENDAS!$E:$E))</f>
        <v/>
      </c>
      <c r="I107" s="16">
        <f>IF($A107="","",H107-G107)</f>
        <v/>
      </c>
      <c r="J107" s="19">
        <f>IF($A107="","",SUMIF(COMPRAS!$B:$B,$A107,COMPRAS!$L:$L))</f>
        <v/>
      </c>
      <c r="K107" s="19">
        <f>IF($A107="","",SUMIF(VENDAS!$B:$B,$A107,VENDAS!$K:$K))</f>
        <v/>
      </c>
      <c r="L107" s="14">
        <f>IF($A107="","",IF(F107&gt;=E107,"FECHADO","ABERTO"))</f>
        <v/>
      </c>
      <c r="M107" s="19">
        <f>IF($A107="","",K107-J107)</f>
        <v/>
      </c>
    </row>
    <row r="108">
      <c r="A108" s="21" t="n"/>
      <c r="B108" s="20">
        <f>IF(OR($A108="",COUNTIF(COMPRAS!$B:$B,$A108)=0),"",MINIFS(COMPRAS!$A:$A,COMPRAS!$B:$B,$A108))</f>
        <v/>
      </c>
      <c r="C108" s="20">
        <f>IF(OR($A108="",COUNTIF(VENDAS!$B:$B,$A108)=0),"",MAXIFS(VENDAS!$A:$A,VENDAS!$B:$B,$A108))</f>
        <v/>
      </c>
      <c r="D108" s="22">
        <f>IF(OR($A108="",B108=""),"",IF(C108="",TODAY()-B108,C108-B108))</f>
        <v/>
      </c>
      <c r="E108" s="22">
        <f>IF($A108="","",SUMIF(COMPRAS!$B:$B,$A108,COMPRAS!$E:$E))</f>
        <v/>
      </c>
      <c r="F108" s="22">
        <f>IF($A108="","",SUMIF(VENDAS!$B:$B,$A108,VENDAS!$D:$D))</f>
        <v/>
      </c>
      <c r="G108" s="23">
        <f>IF($A108="","",SUMIF(COMPRAS!$B:$B,$A108,COMPRAS!$F:$F))</f>
        <v/>
      </c>
      <c r="H108" s="23">
        <f>IF($A108="","",SUMIF(VENDAS!$B:$B,$A108,VENDAS!$E:$E))</f>
        <v/>
      </c>
      <c r="I108" s="23">
        <f>IF($A108="","",H108-G108)</f>
        <v/>
      </c>
      <c r="J108" s="26">
        <f>IF($A108="","",SUMIF(COMPRAS!$B:$B,$A108,COMPRAS!$L:$L))</f>
        <v/>
      </c>
      <c r="K108" s="26">
        <f>IF($A108="","",SUMIF(VENDAS!$B:$B,$A108,VENDAS!$K:$K))</f>
        <v/>
      </c>
      <c r="L108" s="21">
        <f>IF($A108="","",IF(F108&gt;=E108,"FECHADO","ABERTO"))</f>
        <v/>
      </c>
      <c r="M108" s="26">
        <f>IF($A108="","",K108-J108)</f>
        <v/>
      </c>
    </row>
    <row r="109">
      <c r="A109" s="14" t="n"/>
      <c r="B109" s="13">
        <f>IF(OR($A109="",COUNTIF(COMPRAS!$B:$B,$A109)=0),"",MINIFS(COMPRAS!$A:$A,COMPRAS!$B:$B,$A109))</f>
        <v/>
      </c>
      <c r="C109" s="13">
        <f>IF(OR($A109="",COUNTIF(VENDAS!$B:$B,$A109)=0),"",MAXIFS(VENDAS!$A:$A,VENDAS!$B:$B,$A109))</f>
        <v/>
      </c>
      <c r="D109" s="15">
        <f>IF(OR($A109="",B109=""),"",IF(C109="",TODAY()-B109,C109-B109))</f>
        <v/>
      </c>
      <c r="E109" s="15">
        <f>IF($A109="","",SUMIF(COMPRAS!$B:$B,$A109,COMPRAS!$E:$E))</f>
        <v/>
      </c>
      <c r="F109" s="15">
        <f>IF($A109="","",SUMIF(VENDAS!$B:$B,$A109,VENDAS!$D:$D))</f>
        <v/>
      </c>
      <c r="G109" s="16">
        <f>IF($A109="","",SUMIF(COMPRAS!$B:$B,$A109,COMPRAS!$F:$F))</f>
        <v/>
      </c>
      <c r="H109" s="16">
        <f>IF($A109="","",SUMIF(VENDAS!$B:$B,$A109,VENDAS!$E:$E))</f>
        <v/>
      </c>
      <c r="I109" s="16">
        <f>IF($A109="","",H109-G109)</f>
        <v/>
      </c>
      <c r="J109" s="19">
        <f>IF($A109="","",SUMIF(COMPRAS!$B:$B,$A109,COMPRAS!$L:$L))</f>
        <v/>
      </c>
      <c r="K109" s="19">
        <f>IF($A109="","",SUMIF(VENDAS!$B:$B,$A109,VENDAS!$K:$K))</f>
        <v/>
      </c>
      <c r="L109" s="14">
        <f>IF($A109="","",IF(F109&gt;=E109,"FECHADO","ABERTO"))</f>
        <v/>
      </c>
      <c r="M109" s="19">
        <f>IF($A109="","",K109-J109)</f>
        <v/>
      </c>
    </row>
    <row r="110">
      <c r="A110" s="21" t="n"/>
      <c r="B110" s="20">
        <f>IF(OR($A110="",COUNTIF(COMPRAS!$B:$B,$A110)=0),"",MINIFS(COMPRAS!$A:$A,COMPRAS!$B:$B,$A110))</f>
        <v/>
      </c>
      <c r="C110" s="20">
        <f>IF(OR($A110="",COUNTIF(VENDAS!$B:$B,$A110)=0),"",MAXIFS(VENDAS!$A:$A,VENDAS!$B:$B,$A110))</f>
        <v/>
      </c>
      <c r="D110" s="22">
        <f>IF(OR($A110="",B110=""),"",IF(C110="",TODAY()-B110,C110-B110))</f>
        <v/>
      </c>
      <c r="E110" s="22">
        <f>IF($A110="","",SUMIF(COMPRAS!$B:$B,$A110,COMPRAS!$E:$E))</f>
        <v/>
      </c>
      <c r="F110" s="22">
        <f>IF($A110="","",SUMIF(VENDAS!$B:$B,$A110,VENDAS!$D:$D))</f>
        <v/>
      </c>
      <c r="G110" s="23">
        <f>IF($A110="","",SUMIF(COMPRAS!$B:$B,$A110,COMPRAS!$F:$F))</f>
        <v/>
      </c>
      <c r="H110" s="23">
        <f>IF($A110="","",SUMIF(VENDAS!$B:$B,$A110,VENDAS!$E:$E))</f>
        <v/>
      </c>
      <c r="I110" s="23">
        <f>IF($A110="","",H110-G110)</f>
        <v/>
      </c>
      <c r="J110" s="26">
        <f>IF($A110="","",SUMIF(COMPRAS!$B:$B,$A110,COMPRAS!$L:$L))</f>
        <v/>
      </c>
      <c r="K110" s="26">
        <f>IF($A110="","",SUMIF(VENDAS!$B:$B,$A110,VENDAS!$K:$K))</f>
        <v/>
      </c>
      <c r="L110" s="21">
        <f>IF($A110="","",IF(F110&gt;=E110,"FECHADO","ABERTO"))</f>
        <v/>
      </c>
      <c r="M110" s="26">
        <f>IF($A110="","",K110-J110)</f>
        <v/>
      </c>
    </row>
    <row r="111">
      <c r="A111" s="14" t="n"/>
      <c r="B111" s="13">
        <f>IF(OR($A111="",COUNTIF(COMPRAS!$B:$B,$A111)=0),"",MINIFS(COMPRAS!$A:$A,COMPRAS!$B:$B,$A111))</f>
        <v/>
      </c>
      <c r="C111" s="13">
        <f>IF(OR($A111="",COUNTIF(VENDAS!$B:$B,$A111)=0),"",MAXIFS(VENDAS!$A:$A,VENDAS!$B:$B,$A111))</f>
        <v/>
      </c>
      <c r="D111" s="15">
        <f>IF(OR($A111="",B111=""),"",IF(C111="",TODAY()-B111,C111-B111))</f>
        <v/>
      </c>
      <c r="E111" s="15">
        <f>IF($A111="","",SUMIF(COMPRAS!$B:$B,$A111,COMPRAS!$E:$E))</f>
        <v/>
      </c>
      <c r="F111" s="15">
        <f>IF($A111="","",SUMIF(VENDAS!$B:$B,$A111,VENDAS!$D:$D))</f>
        <v/>
      </c>
      <c r="G111" s="16">
        <f>IF($A111="","",SUMIF(COMPRAS!$B:$B,$A111,COMPRAS!$F:$F))</f>
        <v/>
      </c>
      <c r="H111" s="16">
        <f>IF($A111="","",SUMIF(VENDAS!$B:$B,$A111,VENDAS!$E:$E))</f>
        <v/>
      </c>
      <c r="I111" s="16">
        <f>IF($A111="","",H111-G111)</f>
        <v/>
      </c>
      <c r="J111" s="19">
        <f>IF($A111="","",SUMIF(COMPRAS!$B:$B,$A111,COMPRAS!$L:$L))</f>
        <v/>
      </c>
      <c r="K111" s="19">
        <f>IF($A111="","",SUMIF(VENDAS!$B:$B,$A111,VENDAS!$K:$K))</f>
        <v/>
      </c>
      <c r="L111" s="14">
        <f>IF($A111="","",IF(F111&gt;=E111,"FECHADO","ABERTO"))</f>
        <v/>
      </c>
      <c r="M111" s="19">
        <f>IF($A111="","",K111-J111)</f>
        <v/>
      </c>
    </row>
    <row r="112">
      <c r="A112" s="21" t="n"/>
      <c r="B112" s="20">
        <f>IF(OR($A112="",COUNTIF(COMPRAS!$B:$B,$A112)=0),"",MINIFS(COMPRAS!$A:$A,COMPRAS!$B:$B,$A112))</f>
        <v/>
      </c>
      <c r="C112" s="20">
        <f>IF(OR($A112="",COUNTIF(VENDAS!$B:$B,$A112)=0),"",MAXIFS(VENDAS!$A:$A,VENDAS!$B:$B,$A112))</f>
        <v/>
      </c>
      <c r="D112" s="22">
        <f>IF(OR($A112="",B112=""),"",IF(C112="",TODAY()-B112,C112-B112))</f>
        <v/>
      </c>
      <c r="E112" s="22">
        <f>IF($A112="","",SUMIF(COMPRAS!$B:$B,$A112,COMPRAS!$E:$E))</f>
        <v/>
      </c>
      <c r="F112" s="22">
        <f>IF($A112="","",SUMIF(VENDAS!$B:$B,$A112,VENDAS!$D:$D))</f>
        <v/>
      </c>
      <c r="G112" s="23">
        <f>IF($A112="","",SUMIF(COMPRAS!$B:$B,$A112,COMPRAS!$F:$F))</f>
        <v/>
      </c>
      <c r="H112" s="23">
        <f>IF($A112="","",SUMIF(VENDAS!$B:$B,$A112,VENDAS!$E:$E))</f>
        <v/>
      </c>
      <c r="I112" s="23">
        <f>IF($A112="","",H112-G112)</f>
        <v/>
      </c>
      <c r="J112" s="26">
        <f>IF($A112="","",SUMIF(COMPRAS!$B:$B,$A112,COMPRAS!$L:$L))</f>
        <v/>
      </c>
      <c r="K112" s="26">
        <f>IF($A112="","",SUMIF(VENDAS!$B:$B,$A112,VENDAS!$K:$K))</f>
        <v/>
      </c>
      <c r="L112" s="21">
        <f>IF($A112="","",IF(F112&gt;=E112,"FECHADO","ABERTO"))</f>
        <v/>
      </c>
      <c r="M112" s="26">
        <f>IF($A112="","",K112-J112)</f>
        <v/>
      </c>
    </row>
    <row r="113">
      <c r="A113" s="14" t="n"/>
      <c r="B113" s="13">
        <f>IF(OR($A113="",COUNTIF(COMPRAS!$B:$B,$A113)=0),"",MINIFS(COMPRAS!$A:$A,COMPRAS!$B:$B,$A113))</f>
        <v/>
      </c>
      <c r="C113" s="13">
        <f>IF(OR($A113="",COUNTIF(VENDAS!$B:$B,$A113)=0),"",MAXIFS(VENDAS!$A:$A,VENDAS!$B:$B,$A113))</f>
        <v/>
      </c>
      <c r="D113" s="15">
        <f>IF(OR($A113="",B113=""),"",IF(C113="",TODAY()-B113,C113-B113))</f>
        <v/>
      </c>
      <c r="E113" s="15">
        <f>IF($A113="","",SUMIF(COMPRAS!$B:$B,$A113,COMPRAS!$E:$E))</f>
        <v/>
      </c>
      <c r="F113" s="15">
        <f>IF($A113="","",SUMIF(VENDAS!$B:$B,$A113,VENDAS!$D:$D))</f>
        <v/>
      </c>
      <c r="G113" s="16">
        <f>IF($A113="","",SUMIF(COMPRAS!$B:$B,$A113,COMPRAS!$F:$F))</f>
        <v/>
      </c>
      <c r="H113" s="16">
        <f>IF($A113="","",SUMIF(VENDAS!$B:$B,$A113,VENDAS!$E:$E))</f>
        <v/>
      </c>
      <c r="I113" s="16">
        <f>IF($A113="","",H113-G113)</f>
        <v/>
      </c>
      <c r="J113" s="19">
        <f>IF($A113="","",SUMIF(COMPRAS!$B:$B,$A113,COMPRAS!$L:$L))</f>
        <v/>
      </c>
      <c r="K113" s="19">
        <f>IF($A113="","",SUMIF(VENDAS!$B:$B,$A113,VENDAS!$K:$K))</f>
        <v/>
      </c>
      <c r="L113" s="14">
        <f>IF($A113="","",IF(F113&gt;=E113,"FECHADO","ABERTO"))</f>
        <v/>
      </c>
      <c r="M113" s="19">
        <f>IF($A113="","",K113-J113)</f>
        <v/>
      </c>
    </row>
    <row r="114">
      <c r="A114" s="21" t="n"/>
      <c r="B114" s="20">
        <f>IF(OR($A114="",COUNTIF(COMPRAS!$B:$B,$A114)=0),"",MINIFS(COMPRAS!$A:$A,COMPRAS!$B:$B,$A114))</f>
        <v/>
      </c>
      <c r="C114" s="20">
        <f>IF(OR($A114="",COUNTIF(VENDAS!$B:$B,$A114)=0),"",MAXIFS(VENDAS!$A:$A,VENDAS!$B:$B,$A114))</f>
        <v/>
      </c>
      <c r="D114" s="22">
        <f>IF(OR($A114="",B114=""),"",IF(C114="",TODAY()-B114,C114-B114))</f>
        <v/>
      </c>
      <c r="E114" s="22">
        <f>IF($A114="","",SUMIF(COMPRAS!$B:$B,$A114,COMPRAS!$E:$E))</f>
        <v/>
      </c>
      <c r="F114" s="22">
        <f>IF($A114="","",SUMIF(VENDAS!$B:$B,$A114,VENDAS!$D:$D))</f>
        <v/>
      </c>
      <c r="G114" s="23">
        <f>IF($A114="","",SUMIF(COMPRAS!$B:$B,$A114,COMPRAS!$F:$F))</f>
        <v/>
      </c>
      <c r="H114" s="23">
        <f>IF($A114="","",SUMIF(VENDAS!$B:$B,$A114,VENDAS!$E:$E))</f>
        <v/>
      </c>
      <c r="I114" s="23">
        <f>IF($A114="","",H114-G114)</f>
        <v/>
      </c>
      <c r="J114" s="26">
        <f>IF($A114="","",SUMIF(COMPRAS!$B:$B,$A114,COMPRAS!$L:$L))</f>
        <v/>
      </c>
      <c r="K114" s="26">
        <f>IF($A114="","",SUMIF(VENDAS!$B:$B,$A114,VENDAS!$K:$K))</f>
        <v/>
      </c>
      <c r="L114" s="21">
        <f>IF($A114="","",IF(F114&gt;=E114,"FECHADO","ABERTO"))</f>
        <v/>
      </c>
      <c r="M114" s="26">
        <f>IF($A114="","",K114-J114)</f>
        <v/>
      </c>
    </row>
    <row r="115">
      <c r="A115" s="14" t="n"/>
      <c r="B115" s="13">
        <f>IF(OR($A115="",COUNTIF(COMPRAS!$B:$B,$A115)=0),"",MINIFS(COMPRAS!$A:$A,COMPRAS!$B:$B,$A115))</f>
        <v/>
      </c>
      <c r="C115" s="13">
        <f>IF(OR($A115="",COUNTIF(VENDAS!$B:$B,$A115)=0),"",MAXIFS(VENDAS!$A:$A,VENDAS!$B:$B,$A115))</f>
        <v/>
      </c>
      <c r="D115" s="15">
        <f>IF(OR($A115="",B115=""),"",IF(C115="",TODAY()-B115,C115-B115))</f>
        <v/>
      </c>
      <c r="E115" s="15">
        <f>IF($A115="","",SUMIF(COMPRAS!$B:$B,$A115,COMPRAS!$E:$E))</f>
        <v/>
      </c>
      <c r="F115" s="15">
        <f>IF($A115="","",SUMIF(VENDAS!$B:$B,$A115,VENDAS!$D:$D))</f>
        <v/>
      </c>
      <c r="G115" s="16">
        <f>IF($A115="","",SUMIF(COMPRAS!$B:$B,$A115,COMPRAS!$F:$F))</f>
        <v/>
      </c>
      <c r="H115" s="16">
        <f>IF($A115="","",SUMIF(VENDAS!$B:$B,$A115,VENDAS!$E:$E))</f>
        <v/>
      </c>
      <c r="I115" s="16">
        <f>IF($A115="","",H115-G115)</f>
        <v/>
      </c>
      <c r="J115" s="19">
        <f>IF($A115="","",SUMIF(COMPRAS!$B:$B,$A115,COMPRAS!$L:$L))</f>
        <v/>
      </c>
      <c r="K115" s="19">
        <f>IF($A115="","",SUMIF(VENDAS!$B:$B,$A115,VENDAS!$K:$K))</f>
        <v/>
      </c>
      <c r="L115" s="14">
        <f>IF($A115="","",IF(F115&gt;=E115,"FECHADO","ABERTO"))</f>
        <v/>
      </c>
      <c r="M115" s="19">
        <f>IF($A115="","",K115-J115)</f>
        <v/>
      </c>
    </row>
    <row r="116">
      <c r="A116" s="21" t="n"/>
      <c r="B116" s="20">
        <f>IF(OR($A116="",COUNTIF(COMPRAS!$B:$B,$A116)=0),"",MINIFS(COMPRAS!$A:$A,COMPRAS!$B:$B,$A116))</f>
        <v/>
      </c>
      <c r="C116" s="20">
        <f>IF(OR($A116="",COUNTIF(VENDAS!$B:$B,$A116)=0),"",MAXIFS(VENDAS!$A:$A,VENDAS!$B:$B,$A116))</f>
        <v/>
      </c>
      <c r="D116" s="22">
        <f>IF(OR($A116="",B116=""),"",IF(C116="",TODAY()-B116,C116-B116))</f>
        <v/>
      </c>
      <c r="E116" s="22">
        <f>IF($A116="","",SUMIF(COMPRAS!$B:$B,$A116,COMPRAS!$E:$E))</f>
        <v/>
      </c>
      <c r="F116" s="22">
        <f>IF($A116="","",SUMIF(VENDAS!$B:$B,$A116,VENDAS!$D:$D))</f>
        <v/>
      </c>
      <c r="G116" s="23">
        <f>IF($A116="","",SUMIF(COMPRAS!$B:$B,$A116,COMPRAS!$F:$F))</f>
        <v/>
      </c>
      <c r="H116" s="23">
        <f>IF($A116="","",SUMIF(VENDAS!$B:$B,$A116,VENDAS!$E:$E))</f>
        <v/>
      </c>
      <c r="I116" s="23">
        <f>IF($A116="","",H116-G116)</f>
        <v/>
      </c>
      <c r="J116" s="26">
        <f>IF($A116="","",SUMIF(COMPRAS!$B:$B,$A116,COMPRAS!$L:$L))</f>
        <v/>
      </c>
      <c r="K116" s="26">
        <f>IF($A116="","",SUMIF(VENDAS!$B:$B,$A116,VENDAS!$K:$K))</f>
        <v/>
      </c>
      <c r="L116" s="21">
        <f>IF($A116="","",IF(F116&gt;=E116,"FECHADO","ABERTO"))</f>
        <v/>
      </c>
      <c r="M116" s="26">
        <f>IF($A116="","",K116-J116)</f>
        <v/>
      </c>
    </row>
    <row r="117">
      <c r="A117" s="14" t="n"/>
      <c r="B117" s="13">
        <f>IF(OR($A117="",COUNTIF(COMPRAS!$B:$B,$A117)=0),"",MINIFS(COMPRAS!$A:$A,COMPRAS!$B:$B,$A117))</f>
        <v/>
      </c>
      <c r="C117" s="13">
        <f>IF(OR($A117="",COUNTIF(VENDAS!$B:$B,$A117)=0),"",MAXIFS(VENDAS!$A:$A,VENDAS!$B:$B,$A117))</f>
        <v/>
      </c>
      <c r="D117" s="15">
        <f>IF(OR($A117="",B117=""),"",IF(C117="",TODAY()-B117,C117-B117))</f>
        <v/>
      </c>
      <c r="E117" s="15">
        <f>IF($A117="","",SUMIF(COMPRAS!$B:$B,$A117,COMPRAS!$E:$E))</f>
        <v/>
      </c>
      <c r="F117" s="15">
        <f>IF($A117="","",SUMIF(VENDAS!$B:$B,$A117,VENDAS!$D:$D))</f>
        <v/>
      </c>
      <c r="G117" s="16">
        <f>IF($A117="","",SUMIF(COMPRAS!$B:$B,$A117,COMPRAS!$F:$F))</f>
        <v/>
      </c>
      <c r="H117" s="16">
        <f>IF($A117="","",SUMIF(VENDAS!$B:$B,$A117,VENDAS!$E:$E))</f>
        <v/>
      </c>
      <c r="I117" s="16">
        <f>IF($A117="","",H117-G117)</f>
        <v/>
      </c>
      <c r="J117" s="19">
        <f>IF($A117="","",SUMIF(COMPRAS!$B:$B,$A117,COMPRAS!$L:$L))</f>
        <v/>
      </c>
      <c r="K117" s="19">
        <f>IF($A117="","",SUMIF(VENDAS!$B:$B,$A117,VENDAS!$K:$K))</f>
        <v/>
      </c>
      <c r="L117" s="14">
        <f>IF($A117="","",IF(F117&gt;=E117,"FECHADO","ABERTO"))</f>
        <v/>
      </c>
      <c r="M117" s="19">
        <f>IF($A117="","",K117-J117)</f>
        <v/>
      </c>
    </row>
    <row r="118">
      <c r="A118" s="21" t="n"/>
      <c r="B118" s="20">
        <f>IF(OR($A118="",COUNTIF(COMPRAS!$B:$B,$A118)=0),"",MINIFS(COMPRAS!$A:$A,COMPRAS!$B:$B,$A118))</f>
        <v/>
      </c>
      <c r="C118" s="20">
        <f>IF(OR($A118="",COUNTIF(VENDAS!$B:$B,$A118)=0),"",MAXIFS(VENDAS!$A:$A,VENDAS!$B:$B,$A118))</f>
        <v/>
      </c>
      <c r="D118" s="22">
        <f>IF(OR($A118="",B118=""),"",IF(C118="",TODAY()-B118,C118-B118))</f>
        <v/>
      </c>
      <c r="E118" s="22">
        <f>IF($A118="","",SUMIF(COMPRAS!$B:$B,$A118,COMPRAS!$E:$E))</f>
        <v/>
      </c>
      <c r="F118" s="22">
        <f>IF($A118="","",SUMIF(VENDAS!$B:$B,$A118,VENDAS!$D:$D))</f>
        <v/>
      </c>
      <c r="G118" s="23">
        <f>IF($A118="","",SUMIF(COMPRAS!$B:$B,$A118,COMPRAS!$F:$F))</f>
        <v/>
      </c>
      <c r="H118" s="23">
        <f>IF($A118="","",SUMIF(VENDAS!$B:$B,$A118,VENDAS!$E:$E))</f>
        <v/>
      </c>
      <c r="I118" s="23">
        <f>IF($A118="","",H118-G118)</f>
        <v/>
      </c>
      <c r="J118" s="26">
        <f>IF($A118="","",SUMIF(COMPRAS!$B:$B,$A118,COMPRAS!$L:$L))</f>
        <v/>
      </c>
      <c r="K118" s="26">
        <f>IF($A118="","",SUMIF(VENDAS!$B:$B,$A118,VENDAS!$K:$K))</f>
        <v/>
      </c>
      <c r="L118" s="21">
        <f>IF($A118="","",IF(F118&gt;=E118,"FECHADO","ABERTO"))</f>
        <v/>
      </c>
      <c r="M118" s="26">
        <f>IF($A118="","",K118-J118)</f>
        <v/>
      </c>
    </row>
    <row r="119">
      <c r="A119" s="14" t="n"/>
      <c r="B119" s="13">
        <f>IF(OR($A119="",COUNTIF(COMPRAS!$B:$B,$A119)=0),"",MINIFS(COMPRAS!$A:$A,COMPRAS!$B:$B,$A119))</f>
        <v/>
      </c>
      <c r="C119" s="13">
        <f>IF(OR($A119="",COUNTIF(VENDAS!$B:$B,$A119)=0),"",MAXIFS(VENDAS!$A:$A,VENDAS!$B:$B,$A119))</f>
        <v/>
      </c>
      <c r="D119" s="15">
        <f>IF(OR($A119="",B119=""),"",IF(C119="",TODAY()-B119,C119-B119))</f>
        <v/>
      </c>
      <c r="E119" s="15">
        <f>IF($A119="","",SUMIF(COMPRAS!$B:$B,$A119,COMPRAS!$E:$E))</f>
        <v/>
      </c>
      <c r="F119" s="15">
        <f>IF($A119="","",SUMIF(VENDAS!$B:$B,$A119,VENDAS!$D:$D))</f>
        <v/>
      </c>
      <c r="G119" s="16">
        <f>IF($A119="","",SUMIF(COMPRAS!$B:$B,$A119,COMPRAS!$F:$F))</f>
        <v/>
      </c>
      <c r="H119" s="16">
        <f>IF($A119="","",SUMIF(VENDAS!$B:$B,$A119,VENDAS!$E:$E))</f>
        <v/>
      </c>
      <c r="I119" s="16">
        <f>IF($A119="","",H119-G119)</f>
        <v/>
      </c>
      <c r="J119" s="19">
        <f>IF($A119="","",SUMIF(COMPRAS!$B:$B,$A119,COMPRAS!$L:$L))</f>
        <v/>
      </c>
      <c r="K119" s="19">
        <f>IF($A119="","",SUMIF(VENDAS!$B:$B,$A119,VENDAS!$K:$K))</f>
        <v/>
      </c>
      <c r="L119" s="14">
        <f>IF($A119="","",IF(F119&gt;=E119,"FECHADO","ABERTO"))</f>
        <v/>
      </c>
      <c r="M119" s="19">
        <f>IF($A119="","",K119-J119)</f>
        <v/>
      </c>
    </row>
    <row r="120">
      <c r="A120" s="21" t="n"/>
      <c r="B120" s="20">
        <f>IF(OR($A120="",COUNTIF(COMPRAS!$B:$B,$A120)=0),"",MINIFS(COMPRAS!$A:$A,COMPRAS!$B:$B,$A120))</f>
        <v/>
      </c>
      <c r="C120" s="20">
        <f>IF(OR($A120="",COUNTIF(VENDAS!$B:$B,$A120)=0),"",MAXIFS(VENDAS!$A:$A,VENDAS!$B:$B,$A120))</f>
        <v/>
      </c>
      <c r="D120" s="22">
        <f>IF(OR($A120="",B120=""),"",IF(C120="",TODAY()-B120,C120-B120))</f>
        <v/>
      </c>
      <c r="E120" s="22">
        <f>IF($A120="","",SUMIF(COMPRAS!$B:$B,$A120,COMPRAS!$E:$E))</f>
        <v/>
      </c>
      <c r="F120" s="22">
        <f>IF($A120="","",SUMIF(VENDAS!$B:$B,$A120,VENDAS!$D:$D))</f>
        <v/>
      </c>
      <c r="G120" s="23">
        <f>IF($A120="","",SUMIF(COMPRAS!$B:$B,$A120,COMPRAS!$F:$F))</f>
        <v/>
      </c>
      <c r="H120" s="23">
        <f>IF($A120="","",SUMIF(VENDAS!$B:$B,$A120,VENDAS!$E:$E))</f>
        <v/>
      </c>
      <c r="I120" s="23">
        <f>IF($A120="","",H120-G120)</f>
        <v/>
      </c>
      <c r="J120" s="26">
        <f>IF($A120="","",SUMIF(COMPRAS!$B:$B,$A120,COMPRAS!$L:$L))</f>
        <v/>
      </c>
      <c r="K120" s="26">
        <f>IF($A120="","",SUMIF(VENDAS!$B:$B,$A120,VENDAS!$K:$K))</f>
        <v/>
      </c>
      <c r="L120" s="21">
        <f>IF($A120="","",IF(F120&gt;=E120,"FECHADO","ABERTO"))</f>
        <v/>
      </c>
      <c r="M120" s="26">
        <f>IF($A120="","",K120-J120)</f>
        <v/>
      </c>
    </row>
    <row r="121">
      <c r="A121" s="14" t="n"/>
      <c r="B121" s="13">
        <f>IF(OR($A121="",COUNTIF(COMPRAS!$B:$B,$A121)=0),"",MINIFS(COMPRAS!$A:$A,COMPRAS!$B:$B,$A121))</f>
        <v/>
      </c>
      <c r="C121" s="13">
        <f>IF(OR($A121="",COUNTIF(VENDAS!$B:$B,$A121)=0),"",MAXIFS(VENDAS!$A:$A,VENDAS!$B:$B,$A121))</f>
        <v/>
      </c>
      <c r="D121" s="15">
        <f>IF(OR($A121="",B121=""),"",IF(C121="",TODAY()-B121,C121-B121))</f>
        <v/>
      </c>
      <c r="E121" s="15">
        <f>IF($A121="","",SUMIF(COMPRAS!$B:$B,$A121,COMPRAS!$E:$E))</f>
        <v/>
      </c>
      <c r="F121" s="15">
        <f>IF($A121="","",SUMIF(VENDAS!$B:$B,$A121,VENDAS!$D:$D))</f>
        <v/>
      </c>
      <c r="G121" s="16">
        <f>IF($A121="","",SUMIF(COMPRAS!$B:$B,$A121,COMPRAS!$F:$F))</f>
        <v/>
      </c>
      <c r="H121" s="16">
        <f>IF($A121="","",SUMIF(VENDAS!$B:$B,$A121,VENDAS!$E:$E))</f>
        <v/>
      </c>
      <c r="I121" s="16">
        <f>IF($A121="","",H121-G121)</f>
        <v/>
      </c>
      <c r="J121" s="19">
        <f>IF($A121="","",SUMIF(COMPRAS!$B:$B,$A121,COMPRAS!$L:$L))</f>
        <v/>
      </c>
      <c r="K121" s="19">
        <f>IF($A121="","",SUMIF(VENDAS!$B:$B,$A121,VENDAS!$K:$K))</f>
        <v/>
      </c>
      <c r="L121" s="14">
        <f>IF($A121="","",IF(F121&gt;=E121,"FECHADO","ABERTO"))</f>
        <v/>
      </c>
      <c r="M121" s="19">
        <f>IF($A121="","",K121-J121)</f>
        <v/>
      </c>
    </row>
    <row r="122">
      <c r="A122" s="21" t="n"/>
      <c r="B122" s="20">
        <f>IF(OR($A122="",COUNTIF(COMPRAS!$B:$B,$A122)=0),"",MINIFS(COMPRAS!$A:$A,COMPRAS!$B:$B,$A122))</f>
        <v/>
      </c>
      <c r="C122" s="20">
        <f>IF(OR($A122="",COUNTIF(VENDAS!$B:$B,$A122)=0),"",MAXIFS(VENDAS!$A:$A,VENDAS!$B:$B,$A122))</f>
        <v/>
      </c>
      <c r="D122" s="22">
        <f>IF(OR($A122="",B122=""),"",IF(C122="",TODAY()-B122,C122-B122))</f>
        <v/>
      </c>
      <c r="E122" s="22">
        <f>IF($A122="","",SUMIF(COMPRAS!$B:$B,$A122,COMPRAS!$E:$E))</f>
        <v/>
      </c>
      <c r="F122" s="22">
        <f>IF($A122="","",SUMIF(VENDAS!$B:$B,$A122,VENDAS!$D:$D))</f>
        <v/>
      </c>
      <c r="G122" s="23">
        <f>IF($A122="","",SUMIF(COMPRAS!$B:$B,$A122,COMPRAS!$F:$F))</f>
        <v/>
      </c>
      <c r="H122" s="23">
        <f>IF($A122="","",SUMIF(VENDAS!$B:$B,$A122,VENDAS!$E:$E))</f>
        <v/>
      </c>
      <c r="I122" s="23">
        <f>IF($A122="","",H122-G122)</f>
        <v/>
      </c>
      <c r="J122" s="26">
        <f>IF($A122="","",SUMIF(COMPRAS!$B:$B,$A122,COMPRAS!$L:$L))</f>
        <v/>
      </c>
      <c r="K122" s="26">
        <f>IF($A122="","",SUMIF(VENDAS!$B:$B,$A122,VENDAS!$K:$K))</f>
        <v/>
      </c>
      <c r="L122" s="21">
        <f>IF($A122="","",IF(F122&gt;=E122,"FECHADO","ABERTO"))</f>
        <v/>
      </c>
      <c r="M122" s="26">
        <f>IF($A122="","",K122-J122)</f>
        <v/>
      </c>
    </row>
    <row r="123">
      <c r="A123" s="14" t="n"/>
      <c r="B123" s="13">
        <f>IF(OR($A123="",COUNTIF(COMPRAS!$B:$B,$A123)=0),"",MINIFS(COMPRAS!$A:$A,COMPRAS!$B:$B,$A123))</f>
        <v/>
      </c>
      <c r="C123" s="13">
        <f>IF(OR($A123="",COUNTIF(VENDAS!$B:$B,$A123)=0),"",MAXIFS(VENDAS!$A:$A,VENDAS!$B:$B,$A123))</f>
        <v/>
      </c>
      <c r="D123" s="15">
        <f>IF(OR($A123="",B123=""),"",IF(C123="",TODAY()-B123,C123-B123))</f>
        <v/>
      </c>
      <c r="E123" s="15">
        <f>IF($A123="","",SUMIF(COMPRAS!$B:$B,$A123,COMPRAS!$E:$E))</f>
        <v/>
      </c>
      <c r="F123" s="15">
        <f>IF($A123="","",SUMIF(VENDAS!$B:$B,$A123,VENDAS!$D:$D))</f>
        <v/>
      </c>
      <c r="G123" s="16">
        <f>IF($A123="","",SUMIF(COMPRAS!$B:$B,$A123,COMPRAS!$F:$F))</f>
        <v/>
      </c>
      <c r="H123" s="16">
        <f>IF($A123="","",SUMIF(VENDAS!$B:$B,$A123,VENDAS!$E:$E))</f>
        <v/>
      </c>
      <c r="I123" s="16">
        <f>IF($A123="","",H123-G123)</f>
        <v/>
      </c>
      <c r="J123" s="19">
        <f>IF($A123="","",SUMIF(COMPRAS!$B:$B,$A123,COMPRAS!$L:$L))</f>
        <v/>
      </c>
      <c r="K123" s="19">
        <f>IF($A123="","",SUMIF(VENDAS!$B:$B,$A123,VENDAS!$K:$K))</f>
        <v/>
      </c>
      <c r="L123" s="14">
        <f>IF($A123="","",IF(F123&gt;=E123,"FECHADO","ABERTO"))</f>
        <v/>
      </c>
      <c r="M123" s="19">
        <f>IF($A123="","",K123-J123)</f>
        <v/>
      </c>
    </row>
    <row r="124">
      <c r="A124" s="21" t="n"/>
      <c r="B124" s="20">
        <f>IF(OR($A124="",COUNTIF(COMPRAS!$B:$B,$A124)=0),"",MINIFS(COMPRAS!$A:$A,COMPRAS!$B:$B,$A124))</f>
        <v/>
      </c>
      <c r="C124" s="20">
        <f>IF(OR($A124="",COUNTIF(VENDAS!$B:$B,$A124)=0),"",MAXIFS(VENDAS!$A:$A,VENDAS!$B:$B,$A124))</f>
        <v/>
      </c>
      <c r="D124" s="22">
        <f>IF(OR($A124="",B124=""),"",IF(C124="",TODAY()-B124,C124-B124))</f>
        <v/>
      </c>
      <c r="E124" s="22">
        <f>IF($A124="","",SUMIF(COMPRAS!$B:$B,$A124,COMPRAS!$E:$E))</f>
        <v/>
      </c>
      <c r="F124" s="22">
        <f>IF($A124="","",SUMIF(VENDAS!$B:$B,$A124,VENDAS!$D:$D))</f>
        <v/>
      </c>
      <c r="G124" s="23">
        <f>IF($A124="","",SUMIF(COMPRAS!$B:$B,$A124,COMPRAS!$F:$F))</f>
        <v/>
      </c>
      <c r="H124" s="23">
        <f>IF($A124="","",SUMIF(VENDAS!$B:$B,$A124,VENDAS!$E:$E))</f>
        <v/>
      </c>
      <c r="I124" s="23">
        <f>IF($A124="","",H124-G124)</f>
        <v/>
      </c>
      <c r="J124" s="26">
        <f>IF($A124="","",SUMIF(COMPRAS!$B:$B,$A124,COMPRAS!$L:$L))</f>
        <v/>
      </c>
      <c r="K124" s="26">
        <f>IF($A124="","",SUMIF(VENDAS!$B:$B,$A124,VENDAS!$K:$K))</f>
        <v/>
      </c>
      <c r="L124" s="21">
        <f>IF($A124="","",IF(F124&gt;=E124,"FECHADO","ABERTO"))</f>
        <v/>
      </c>
      <c r="M124" s="26">
        <f>IF($A124="","",K124-J124)</f>
        <v/>
      </c>
    </row>
    <row r="125">
      <c r="A125" s="14" t="n"/>
      <c r="B125" s="13">
        <f>IF(OR($A125="",COUNTIF(COMPRAS!$B:$B,$A125)=0),"",MINIFS(COMPRAS!$A:$A,COMPRAS!$B:$B,$A125))</f>
        <v/>
      </c>
      <c r="C125" s="13">
        <f>IF(OR($A125="",COUNTIF(VENDAS!$B:$B,$A125)=0),"",MAXIFS(VENDAS!$A:$A,VENDAS!$B:$B,$A125))</f>
        <v/>
      </c>
      <c r="D125" s="15">
        <f>IF(OR($A125="",B125=""),"",IF(C125="",TODAY()-B125,C125-B125))</f>
        <v/>
      </c>
      <c r="E125" s="15">
        <f>IF($A125="","",SUMIF(COMPRAS!$B:$B,$A125,COMPRAS!$E:$E))</f>
        <v/>
      </c>
      <c r="F125" s="15">
        <f>IF($A125="","",SUMIF(VENDAS!$B:$B,$A125,VENDAS!$D:$D))</f>
        <v/>
      </c>
      <c r="G125" s="16">
        <f>IF($A125="","",SUMIF(COMPRAS!$B:$B,$A125,COMPRAS!$F:$F))</f>
        <v/>
      </c>
      <c r="H125" s="16">
        <f>IF($A125="","",SUMIF(VENDAS!$B:$B,$A125,VENDAS!$E:$E))</f>
        <v/>
      </c>
      <c r="I125" s="16">
        <f>IF($A125="","",H125-G125)</f>
        <v/>
      </c>
      <c r="J125" s="19">
        <f>IF($A125="","",SUMIF(COMPRAS!$B:$B,$A125,COMPRAS!$L:$L))</f>
        <v/>
      </c>
      <c r="K125" s="19">
        <f>IF($A125="","",SUMIF(VENDAS!$B:$B,$A125,VENDAS!$K:$K))</f>
        <v/>
      </c>
      <c r="L125" s="14">
        <f>IF($A125="","",IF(F125&gt;=E125,"FECHADO","ABERTO"))</f>
        <v/>
      </c>
      <c r="M125" s="19">
        <f>IF($A125="","",K125-J125)</f>
        <v/>
      </c>
    </row>
    <row r="126">
      <c r="A126" s="21" t="n"/>
      <c r="B126" s="20">
        <f>IF(OR($A126="",COUNTIF(COMPRAS!$B:$B,$A126)=0),"",MINIFS(COMPRAS!$A:$A,COMPRAS!$B:$B,$A126))</f>
        <v/>
      </c>
      <c r="C126" s="20">
        <f>IF(OR($A126="",COUNTIF(VENDAS!$B:$B,$A126)=0),"",MAXIFS(VENDAS!$A:$A,VENDAS!$B:$B,$A126))</f>
        <v/>
      </c>
      <c r="D126" s="22">
        <f>IF(OR($A126="",B126=""),"",IF(C126="",TODAY()-B126,C126-B126))</f>
        <v/>
      </c>
      <c r="E126" s="22">
        <f>IF($A126="","",SUMIF(COMPRAS!$B:$B,$A126,COMPRAS!$E:$E))</f>
        <v/>
      </c>
      <c r="F126" s="22">
        <f>IF($A126="","",SUMIF(VENDAS!$B:$B,$A126,VENDAS!$D:$D))</f>
        <v/>
      </c>
      <c r="G126" s="23">
        <f>IF($A126="","",SUMIF(COMPRAS!$B:$B,$A126,COMPRAS!$F:$F))</f>
        <v/>
      </c>
      <c r="H126" s="23">
        <f>IF($A126="","",SUMIF(VENDAS!$B:$B,$A126,VENDAS!$E:$E))</f>
        <v/>
      </c>
      <c r="I126" s="23">
        <f>IF($A126="","",H126-G126)</f>
        <v/>
      </c>
      <c r="J126" s="26">
        <f>IF($A126="","",SUMIF(COMPRAS!$B:$B,$A126,COMPRAS!$L:$L))</f>
        <v/>
      </c>
      <c r="K126" s="26">
        <f>IF($A126="","",SUMIF(VENDAS!$B:$B,$A126,VENDAS!$K:$K))</f>
        <v/>
      </c>
      <c r="L126" s="21">
        <f>IF($A126="","",IF(F126&gt;=E126,"FECHADO","ABERTO"))</f>
        <v/>
      </c>
      <c r="M126" s="26">
        <f>IF($A126="","",K126-J126)</f>
        <v/>
      </c>
    </row>
    <row r="127">
      <c r="A127" s="14" t="n"/>
      <c r="B127" s="13">
        <f>IF(OR($A127="",COUNTIF(COMPRAS!$B:$B,$A127)=0),"",MINIFS(COMPRAS!$A:$A,COMPRAS!$B:$B,$A127))</f>
        <v/>
      </c>
      <c r="C127" s="13">
        <f>IF(OR($A127="",COUNTIF(VENDAS!$B:$B,$A127)=0),"",MAXIFS(VENDAS!$A:$A,VENDAS!$B:$B,$A127))</f>
        <v/>
      </c>
      <c r="D127" s="15">
        <f>IF(OR($A127="",B127=""),"",IF(C127="",TODAY()-B127,C127-B127))</f>
        <v/>
      </c>
      <c r="E127" s="15">
        <f>IF($A127="","",SUMIF(COMPRAS!$B:$B,$A127,COMPRAS!$E:$E))</f>
        <v/>
      </c>
      <c r="F127" s="15">
        <f>IF($A127="","",SUMIF(VENDAS!$B:$B,$A127,VENDAS!$D:$D))</f>
        <v/>
      </c>
      <c r="G127" s="16">
        <f>IF($A127="","",SUMIF(COMPRAS!$B:$B,$A127,COMPRAS!$F:$F))</f>
        <v/>
      </c>
      <c r="H127" s="16">
        <f>IF($A127="","",SUMIF(VENDAS!$B:$B,$A127,VENDAS!$E:$E))</f>
        <v/>
      </c>
      <c r="I127" s="16">
        <f>IF($A127="","",H127-G127)</f>
        <v/>
      </c>
      <c r="J127" s="19">
        <f>IF($A127="","",SUMIF(COMPRAS!$B:$B,$A127,COMPRAS!$L:$L))</f>
        <v/>
      </c>
      <c r="K127" s="19">
        <f>IF($A127="","",SUMIF(VENDAS!$B:$B,$A127,VENDAS!$K:$K))</f>
        <v/>
      </c>
      <c r="L127" s="14">
        <f>IF($A127="","",IF(F127&gt;=E127,"FECHADO","ABERTO"))</f>
        <v/>
      </c>
      <c r="M127" s="19">
        <f>IF($A127="","",K127-J127)</f>
        <v/>
      </c>
    </row>
    <row r="128">
      <c r="A128" s="21" t="n"/>
      <c r="B128" s="20">
        <f>IF(OR($A128="",COUNTIF(COMPRAS!$B:$B,$A128)=0),"",MINIFS(COMPRAS!$A:$A,COMPRAS!$B:$B,$A128))</f>
        <v/>
      </c>
      <c r="C128" s="20">
        <f>IF(OR($A128="",COUNTIF(VENDAS!$B:$B,$A128)=0),"",MAXIFS(VENDAS!$A:$A,VENDAS!$B:$B,$A128))</f>
        <v/>
      </c>
      <c r="D128" s="22">
        <f>IF(OR($A128="",B128=""),"",IF(C128="",TODAY()-B128,C128-B128))</f>
        <v/>
      </c>
      <c r="E128" s="22">
        <f>IF($A128="","",SUMIF(COMPRAS!$B:$B,$A128,COMPRAS!$E:$E))</f>
        <v/>
      </c>
      <c r="F128" s="22">
        <f>IF($A128="","",SUMIF(VENDAS!$B:$B,$A128,VENDAS!$D:$D))</f>
        <v/>
      </c>
      <c r="G128" s="23">
        <f>IF($A128="","",SUMIF(COMPRAS!$B:$B,$A128,COMPRAS!$F:$F))</f>
        <v/>
      </c>
      <c r="H128" s="23">
        <f>IF($A128="","",SUMIF(VENDAS!$B:$B,$A128,VENDAS!$E:$E))</f>
        <v/>
      </c>
      <c r="I128" s="23">
        <f>IF($A128="","",H128-G128)</f>
        <v/>
      </c>
      <c r="J128" s="26">
        <f>IF($A128="","",SUMIF(COMPRAS!$B:$B,$A128,COMPRAS!$L:$L))</f>
        <v/>
      </c>
      <c r="K128" s="26">
        <f>IF($A128="","",SUMIF(VENDAS!$B:$B,$A128,VENDAS!$K:$K))</f>
        <v/>
      </c>
      <c r="L128" s="21">
        <f>IF($A128="","",IF(F128&gt;=E128,"FECHADO","ABERTO"))</f>
        <v/>
      </c>
      <c r="M128" s="26">
        <f>IF($A128="","",K128-J128)</f>
        <v/>
      </c>
    </row>
    <row r="129">
      <c r="A129" s="14" t="n"/>
      <c r="B129" s="13">
        <f>IF(OR($A129="",COUNTIF(COMPRAS!$B:$B,$A129)=0),"",MINIFS(COMPRAS!$A:$A,COMPRAS!$B:$B,$A129))</f>
        <v/>
      </c>
      <c r="C129" s="13">
        <f>IF(OR($A129="",COUNTIF(VENDAS!$B:$B,$A129)=0),"",MAXIFS(VENDAS!$A:$A,VENDAS!$B:$B,$A129))</f>
        <v/>
      </c>
      <c r="D129" s="15">
        <f>IF(OR($A129="",B129=""),"",IF(C129="",TODAY()-B129,C129-B129))</f>
        <v/>
      </c>
      <c r="E129" s="15">
        <f>IF($A129="","",SUMIF(COMPRAS!$B:$B,$A129,COMPRAS!$E:$E))</f>
        <v/>
      </c>
      <c r="F129" s="15">
        <f>IF($A129="","",SUMIF(VENDAS!$B:$B,$A129,VENDAS!$D:$D))</f>
        <v/>
      </c>
      <c r="G129" s="16">
        <f>IF($A129="","",SUMIF(COMPRAS!$B:$B,$A129,COMPRAS!$F:$F))</f>
        <v/>
      </c>
      <c r="H129" s="16">
        <f>IF($A129="","",SUMIF(VENDAS!$B:$B,$A129,VENDAS!$E:$E))</f>
        <v/>
      </c>
      <c r="I129" s="16">
        <f>IF($A129="","",H129-G129)</f>
        <v/>
      </c>
      <c r="J129" s="19">
        <f>IF($A129="","",SUMIF(COMPRAS!$B:$B,$A129,COMPRAS!$L:$L))</f>
        <v/>
      </c>
      <c r="K129" s="19">
        <f>IF($A129="","",SUMIF(VENDAS!$B:$B,$A129,VENDAS!$K:$K))</f>
        <v/>
      </c>
      <c r="L129" s="14">
        <f>IF($A129="","",IF(F129&gt;=E129,"FECHADO","ABERTO"))</f>
        <v/>
      </c>
      <c r="M129" s="19">
        <f>IF($A129="","",K129-J129)</f>
        <v/>
      </c>
    </row>
    <row r="130">
      <c r="A130" s="21" t="n"/>
      <c r="B130" s="20">
        <f>IF(OR($A130="",COUNTIF(COMPRAS!$B:$B,$A130)=0),"",MINIFS(COMPRAS!$A:$A,COMPRAS!$B:$B,$A130))</f>
        <v/>
      </c>
      <c r="C130" s="20">
        <f>IF(OR($A130="",COUNTIF(VENDAS!$B:$B,$A130)=0),"",MAXIFS(VENDAS!$A:$A,VENDAS!$B:$B,$A130))</f>
        <v/>
      </c>
      <c r="D130" s="22">
        <f>IF(OR($A130="",B130=""),"",IF(C130="",TODAY()-B130,C130-B130))</f>
        <v/>
      </c>
      <c r="E130" s="22">
        <f>IF($A130="","",SUMIF(COMPRAS!$B:$B,$A130,COMPRAS!$E:$E))</f>
        <v/>
      </c>
      <c r="F130" s="22">
        <f>IF($A130="","",SUMIF(VENDAS!$B:$B,$A130,VENDAS!$D:$D))</f>
        <v/>
      </c>
      <c r="G130" s="23">
        <f>IF($A130="","",SUMIF(COMPRAS!$B:$B,$A130,COMPRAS!$F:$F))</f>
        <v/>
      </c>
      <c r="H130" s="23">
        <f>IF($A130="","",SUMIF(VENDAS!$B:$B,$A130,VENDAS!$E:$E))</f>
        <v/>
      </c>
      <c r="I130" s="23">
        <f>IF($A130="","",H130-G130)</f>
        <v/>
      </c>
      <c r="J130" s="26">
        <f>IF($A130="","",SUMIF(COMPRAS!$B:$B,$A130,COMPRAS!$L:$L))</f>
        <v/>
      </c>
      <c r="K130" s="26">
        <f>IF($A130="","",SUMIF(VENDAS!$B:$B,$A130,VENDAS!$K:$K))</f>
        <v/>
      </c>
      <c r="L130" s="21">
        <f>IF($A130="","",IF(F130&gt;=E130,"FECHADO","ABERTO"))</f>
        <v/>
      </c>
      <c r="M130" s="26">
        <f>IF($A130="","",K130-J130)</f>
        <v/>
      </c>
    </row>
    <row r="131">
      <c r="A131" s="14" t="n"/>
      <c r="B131" s="13">
        <f>IF(OR($A131="",COUNTIF(COMPRAS!$B:$B,$A131)=0),"",MINIFS(COMPRAS!$A:$A,COMPRAS!$B:$B,$A131))</f>
        <v/>
      </c>
      <c r="C131" s="13">
        <f>IF(OR($A131="",COUNTIF(VENDAS!$B:$B,$A131)=0),"",MAXIFS(VENDAS!$A:$A,VENDAS!$B:$B,$A131))</f>
        <v/>
      </c>
      <c r="D131" s="15">
        <f>IF(OR($A131="",B131=""),"",IF(C131="",TODAY()-B131,C131-B131))</f>
        <v/>
      </c>
      <c r="E131" s="15">
        <f>IF($A131="","",SUMIF(COMPRAS!$B:$B,$A131,COMPRAS!$E:$E))</f>
        <v/>
      </c>
      <c r="F131" s="15">
        <f>IF($A131="","",SUMIF(VENDAS!$B:$B,$A131,VENDAS!$D:$D))</f>
        <v/>
      </c>
      <c r="G131" s="16">
        <f>IF($A131="","",SUMIF(COMPRAS!$B:$B,$A131,COMPRAS!$F:$F))</f>
        <v/>
      </c>
      <c r="H131" s="16">
        <f>IF($A131="","",SUMIF(VENDAS!$B:$B,$A131,VENDAS!$E:$E))</f>
        <v/>
      </c>
      <c r="I131" s="16">
        <f>IF($A131="","",H131-G131)</f>
        <v/>
      </c>
      <c r="J131" s="19">
        <f>IF($A131="","",SUMIF(COMPRAS!$B:$B,$A131,COMPRAS!$L:$L))</f>
        <v/>
      </c>
      <c r="K131" s="19">
        <f>IF($A131="","",SUMIF(VENDAS!$B:$B,$A131,VENDAS!$K:$K))</f>
        <v/>
      </c>
      <c r="L131" s="14">
        <f>IF($A131="","",IF(F131&gt;=E131,"FECHADO","ABERTO"))</f>
        <v/>
      </c>
      <c r="M131" s="19">
        <f>IF($A131="","",K131-J131)</f>
        <v/>
      </c>
    </row>
    <row r="132">
      <c r="A132" s="21" t="n"/>
      <c r="B132" s="20">
        <f>IF(OR($A132="",COUNTIF(COMPRAS!$B:$B,$A132)=0),"",MINIFS(COMPRAS!$A:$A,COMPRAS!$B:$B,$A132))</f>
        <v/>
      </c>
      <c r="C132" s="20">
        <f>IF(OR($A132="",COUNTIF(VENDAS!$B:$B,$A132)=0),"",MAXIFS(VENDAS!$A:$A,VENDAS!$B:$B,$A132))</f>
        <v/>
      </c>
      <c r="D132" s="22">
        <f>IF(OR($A132="",B132=""),"",IF(C132="",TODAY()-B132,C132-B132))</f>
        <v/>
      </c>
      <c r="E132" s="22">
        <f>IF($A132="","",SUMIF(COMPRAS!$B:$B,$A132,COMPRAS!$E:$E))</f>
        <v/>
      </c>
      <c r="F132" s="22">
        <f>IF($A132="","",SUMIF(VENDAS!$B:$B,$A132,VENDAS!$D:$D))</f>
        <v/>
      </c>
      <c r="G132" s="23">
        <f>IF($A132="","",SUMIF(COMPRAS!$B:$B,$A132,COMPRAS!$F:$F))</f>
        <v/>
      </c>
      <c r="H132" s="23">
        <f>IF($A132="","",SUMIF(VENDAS!$B:$B,$A132,VENDAS!$E:$E))</f>
        <v/>
      </c>
      <c r="I132" s="23">
        <f>IF($A132="","",H132-G132)</f>
        <v/>
      </c>
      <c r="J132" s="26">
        <f>IF($A132="","",SUMIF(COMPRAS!$B:$B,$A132,COMPRAS!$L:$L))</f>
        <v/>
      </c>
      <c r="K132" s="26">
        <f>IF($A132="","",SUMIF(VENDAS!$B:$B,$A132,VENDAS!$K:$K))</f>
        <v/>
      </c>
      <c r="L132" s="21">
        <f>IF($A132="","",IF(F132&gt;=E132,"FECHADO","ABERTO"))</f>
        <v/>
      </c>
      <c r="M132" s="26">
        <f>IF($A132="","",K132-J132)</f>
        <v/>
      </c>
    </row>
    <row r="133">
      <c r="A133" s="14" t="n"/>
      <c r="B133" s="13">
        <f>IF(OR($A133="",COUNTIF(COMPRAS!$B:$B,$A133)=0),"",MINIFS(COMPRAS!$A:$A,COMPRAS!$B:$B,$A133))</f>
        <v/>
      </c>
      <c r="C133" s="13">
        <f>IF(OR($A133="",COUNTIF(VENDAS!$B:$B,$A133)=0),"",MAXIFS(VENDAS!$A:$A,VENDAS!$B:$B,$A133))</f>
        <v/>
      </c>
      <c r="D133" s="15">
        <f>IF(OR($A133="",B133=""),"",IF(C133="",TODAY()-B133,C133-B133))</f>
        <v/>
      </c>
      <c r="E133" s="15">
        <f>IF($A133="","",SUMIF(COMPRAS!$B:$B,$A133,COMPRAS!$E:$E))</f>
        <v/>
      </c>
      <c r="F133" s="15">
        <f>IF($A133="","",SUMIF(VENDAS!$B:$B,$A133,VENDAS!$D:$D))</f>
        <v/>
      </c>
      <c r="G133" s="16">
        <f>IF($A133="","",SUMIF(COMPRAS!$B:$B,$A133,COMPRAS!$F:$F))</f>
        <v/>
      </c>
      <c r="H133" s="16">
        <f>IF($A133="","",SUMIF(VENDAS!$B:$B,$A133,VENDAS!$E:$E))</f>
        <v/>
      </c>
      <c r="I133" s="16">
        <f>IF($A133="","",H133-G133)</f>
        <v/>
      </c>
      <c r="J133" s="19">
        <f>IF($A133="","",SUMIF(COMPRAS!$B:$B,$A133,COMPRAS!$L:$L))</f>
        <v/>
      </c>
      <c r="K133" s="19">
        <f>IF($A133="","",SUMIF(VENDAS!$B:$B,$A133,VENDAS!$K:$K))</f>
        <v/>
      </c>
      <c r="L133" s="14">
        <f>IF($A133="","",IF(F133&gt;=E133,"FECHADO","ABERTO"))</f>
        <v/>
      </c>
      <c r="M133" s="19">
        <f>IF($A133="","",K133-J133)</f>
        <v/>
      </c>
    </row>
    <row r="134">
      <c r="A134" s="21" t="n"/>
      <c r="B134" s="20">
        <f>IF(OR($A134="",COUNTIF(COMPRAS!$B:$B,$A134)=0),"",MINIFS(COMPRAS!$A:$A,COMPRAS!$B:$B,$A134))</f>
        <v/>
      </c>
      <c r="C134" s="20">
        <f>IF(OR($A134="",COUNTIF(VENDAS!$B:$B,$A134)=0),"",MAXIFS(VENDAS!$A:$A,VENDAS!$B:$B,$A134))</f>
        <v/>
      </c>
      <c r="D134" s="22">
        <f>IF(OR($A134="",B134=""),"",IF(C134="",TODAY()-B134,C134-B134))</f>
        <v/>
      </c>
      <c r="E134" s="22">
        <f>IF($A134="","",SUMIF(COMPRAS!$B:$B,$A134,COMPRAS!$E:$E))</f>
        <v/>
      </c>
      <c r="F134" s="22">
        <f>IF($A134="","",SUMIF(VENDAS!$B:$B,$A134,VENDAS!$D:$D))</f>
        <v/>
      </c>
      <c r="G134" s="23">
        <f>IF($A134="","",SUMIF(COMPRAS!$B:$B,$A134,COMPRAS!$F:$F))</f>
        <v/>
      </c>
      <c r="H134" s="23">
        <f>IF($A134="","",SUMIF(VENDAS!$B:$B,$A134,VENDAS!$E:$E))</f>
        <v/>
      </c>
      <c r="I134" s="23">
        <f>IF($A134="","",H134-G134)</f>
        <v/>
      </c>
      <c r="J134" s="26">
        <f>IF($A134="","",SUMIF(COMPRAS!$B:$B,$A134,COMPRAS!$L:$L))</f>
        <v/>
      </c>
      <c r="K134" s="26">
        <f>IF($A134="","",SUMIF(VENDAS!$B:$B,$A134,VENDAS!$K:$K))</f>
        <v/>
      </c>
      <c r="L134" s="21">
        <f>IF($A134="","",IF(F134&gt;=E134,"FECHADO","ABERTO"))</f>
        <v/>
      </c>
      <c r="M134" s="26">
        <f>IF($A134="","",K134-J134)</f>
        <v/>
      </c>
    </row>
    <row r="135">
      <c r="A135" s="14" t="n"/>
      <c r="B135" s="13">
        <f>IF(OR($A135="",COUNTIF(COMPRAS!$B:$B,$A135)=0),"",MINIFS(COMPRAS!$A:$A,COMPRAS!$B:$B,$A135))</f>
        <v/>
      </c>
      <c r="C135" s="13">
        <f>IF(OR($A135="",COUNTIF(VENDAS!$B:$B,$A135)=0),"",MAXIFS(VENDAS!$A:$A,VENDAS!$B:$B,$A135))</f>
        <v/>
      </c>
      <c r="D135" s="15">
        <f>IF(OR($A135="",B135=""),"",IF(C135="",TODAY()-B135,C135-B135))</f>
        <v/>
      </c>
      <c r="E135" s="15">
        <f>IF($A135="","",SUMIF(COMPRAS!$B:$B,$A135,COMPRAS!$E:$E))</f>
        <v/>
      </c>
      <c r="F135" s="15">
        <f>IF($A135="","",SUMIF(VENDAS!$B:$B,$A135,VENDAS!$D:$D))</f>
        <v/>
      </c>
      <c r="G135" s="16">
        <f>IF($A135="","",SUMIF(COMPRAS!$B:$B,$A135,COMPRAS!$F:$F))</f>
        <v/>
      </c>
      <c r="H135" s="16">
        <f>IF($A135="","",SUMIF(VENDAS!$B:$B,$A135,VENDAS!$E:$E))</f>
        <v/>
      </c>
      <c r="I135" s="16">
        <f>IF($A135="","",H135-G135)</f>
        <v/>
      </c>
      <c r="J135" s="19">
        <f>IF($A135="","",SUMIF(COMPRAS!$B:$B,$A135,COMPRAS!$L:$L))</f>
        <v/>
      </c>
      <c r="K135" s="19">
        <f>IF($A135="","",SUMIF(VENDAS!$B:$B,$A135,VENDAS!$K:$K))</f>
        <v/>
      </c>
      <c r="L135" s="14">
        <f>IF($A135="","",IF(F135&gt;=E135,"FECHADO","ABERTO"))</f>
        <v/>
      </c>
      <c r="M135" s="19">
        <f>IF($A135="","",K135-J135)</f>
        <v/>
      </c>
    </row>
    <row r="136">
      <c r="A136" s="21" t="n"/>
      <c r="B136" s="20">
        <f>IF(OR($A136="",COUNTIF(COMPRAS!$B:$B,$A136)=0),"",MINIFS(COMPRAS!$A:$A,COMPRAS!$B:$B,$A136))</f>
        <v/>
      </c>
      <c r="C136" s="20">
        <f>IF(OR($A136="",COUNTIF(VENDAS!$B:$B,$A136)=0),"",MAXIFS(VENDAS!$A:$A,VENDAS!$B:$B,$A136))</f>
        <v/>
      </c>
      <c r="D136" s="22">
        <f>IF(OR($A136="",B136=""),"",IF(C136="",TODAY()-B136,C136-B136))</f>
        <v/>
      </c>
      <c r="E136" s="22">
        <f>IF($A136="","",SUMIF(COMPRAS!$B:$B,$A136,COMPRAS!$E:$E))</f>
        <v/>
      </c>
      <c r="F136" s="22">
        <f>IF($A136="","",SUMIF(VENDAS!$B:$B,$A136,VENDAS!$D:$D))</f>
        <v/>
      </c>
      <c r="G136" s="23">
        <f>IF($A136="","",SUMIF(COMPRAS!$B:$B,$A136,COMPRAS!$F:$F))</f>
        <v/>
      </c>
      <c r="H136" s="23">
        <f>IF($A136="","",SUMIF(VENDAS!$B:$B,$A136,VENDAS!$E:$E))</f>
        <v/>
      </c>
      <c r="I136" s="23">
        <f>IF($A136="","",H136-G136)</f>
        <v/>
      </c>
      <c r="J136" s="26">
        <f>IF($A136="","",SUMIF(COMPRAS!$B:$B,$A136,COMPRAS!$L:$L))</f>
        <v/>
      </c>
      <c r="K136" s="26">
        <f>IF($A136="","",SUMIF(VENDAS!$B:$B,$A136,VENDAS!$K:$K))</f>
        <v/>
      </c>
      <c r="L136" s="21">
        <f>IF($A136="","",IF(F136&gt;=E136,"FECHADO","ABERTO"))</f>
        <v/>
      </c>
      <c r="M136" s="26">
        <f>IF($A136="","",K136-J136)</f>
        <v/>
      </c>
    </row>
    <row r="137">
      <c r="A137" s="14" t="n"/>
      <c r="B137" s="13">
        <f>IF(OR($A137="",COUNTIF(COMPRAS!$B:$B,$A137)=0),"",MINIFS(COMPRAS!$A:$A,COMPRAS!$B:$B,$A137))</f>
        <v/>
      </c>
      <c r="C137" s="13">
        <f>IF(OR($A137="",COUNTIF(VENDAS!$B:$B,$A137)=0),"",MAXIFS(VENDAS!$A:$A,VENDAS!$B:$B,$A137))</f>
        <v/>
      </c>
      <c r="D137" s="15">
        <f>IF(OR($A137="",B137=""),"",IF(C137="",TODAY()-B137,C137-B137))</f>
        <v/>
      </c>
      <c r="E137" s="15">
        <f>IF($A137="","",SUMIF(COMPRAS!$B:$B,$A137,COMPRAS!$E:$E))</f>
        <v/>
      </c>
      <c r="F137" s="15">
        <f>IF($A137="","",SUMIF(VENDAS!$B:$B,$A137,VENDAS!$D:$D))</f>
        <v/>
      </c>
      <c r="G137" s="16">
        <f>IF($A137="","",SUMIF(COMPRAS!$B:$B,$A137,COMPRAS!$F:$F))</f>
        <v/>
      </c>
      <c r="H137" s="16">
        <f>IF($A137="","",SUMIF(VENDAS!$B:$B,$A137,VENDAS!$E:$E))</f>
        <v/>
      </c>
      <c r="I137" s="16">
        <f>IF($A137="","",H137-G137)</f>
        <v/>
      </c>
      <c r="J137" s="19">
        <f>IF($A137="","",SUMIF(COMPRAS!$B:$B,$A137,COMPRAS!$L:$L))</f>
        <v/>
      </c>
      <c r="K137" s="19">
        <f>IF($A137="","",SUMIF(VENDAS!$B:$B,$A137,VENDAS!$K:$K))</f>
        <v/>
      </c>
      <c r="L137" s="14">
        <f>IF($A137="","",IF(F137&gt;=E137,"FECHADO","ABERTO"))</f>
        <v/>
      </c>
      <c r="M137" s="19">
        <f>IF($A137="","",K137-J137)</f>
        <v/>
      </c>
    </row>
    <row r="138">
      <c r="A138" s="21" t="n"/>
      <c r="B138" s="20">
        <f>IF(OR($A138="",COUNTIF(COMPRAS!$B:$B,$A138)=0),"",MINIFS(COMPRAS!$A:$A,COMPRAS!$B:$B,$A138))</f>
        <v/>
      </c>
      <c r="C138" s="20">
        <f>IF(OR($A138="",COUNTIF(VENDAS!$B:$B,$A138)=0),"",MAXIFS(VENDAS!$A:$A,VENDAS!$B:$B,$A138))</f>
        <v/>
      </c>
      <c r="D138" s="22">
        <f>IF(OR($A138="",B138=""),"",IF(C138="",TODAY()-B138,C138-B138))</f>
        <v/>
      </c>
      <c r="E138" s="22">
        <f>IF($A138="","",SUMIF(COMPRAS!$B:$B,$A138,COMPRAS!$E:$E))</f>
        <v/>
      </c>
      <c r="F138" s="22">
        <f>IF($A138="","",SUMIF(VENDAS!$B:$B,$A138,VENDAS!$D:$D))</f>
        <v/>
      </c>
      <c r="G138" s="23">
        <f>IF($A138="","",SUMIF(COMPRAS!$B:$B,$A138,COMPRAS!$F:$F))</f>
        <v/>
      </c>
      <c r="H138" s="23">
        <f>IF($A138="","",SUMIF(VENDAS!$B:$B,$A138,VENDAS!$E:$E))</f>
        <v/>
      </c>
      <c r="I138" s="23">
        <f>IF($A138="","",H138-G138)</f>
        <v/>
      </c>
      <c r="J138" s="26">
        <f>IF($A138="","",SUMIF(COMPRAS!$B:$B,$A138,COMPRAS!$L:$L))</f>
        <v/>
      </c>
      <c r="K138" s="26">
        <f>IF($A138="","",SUMIF(VENDAS!$B:$B,$A138,VENDAS!$K:$K))</f>
        <v/>
      </c>
      <c r="L138" s="21">
        <f>IF($A138="","",IF(F138&gt;=E138,"FECHADO","ABERTO"))</f>
        <v/>
      </c>
      <c r="M138" s="26">
        <f>IF($A138="","",K138-J138)</f>
        <v/>
      </c>
    </row>
    <row r="139">
      <c r="A139" s="14" t="n"/>
      <c r="B139" s="13">
        <f>IF(OR($A139="",COUNTIF(COMPRAS!$B:$B,$A139)=0),"",MINIFS(COMPRAS!$A:$A,COMPRAS!$B:$B,$A139))</f>
        <v/>
      </c>
      <c r="C139" s="13">
        <f>IF(OR($A139="",COUNTIF(VENDAS!$B:$B,$A139)=0),"",MAXIFS(VENDAS!$A:$A,VENDAS!$B:$B,$A139))</f>
        <v/>
      </c>
      <c r="D139" s="15">
        <f>IF(OR($A139="",B139=""),"",IF(C139="",TODAY()-B139,C139-B139))</f>
        <v/>
      </c>
      <c r="E139" s="15">
        <f>IF($A139="","",SUMIF(COMPRAS!$B:$B,$A139,COMPRAS!$E:$E))</f>
        <v/>
      </c>
      <c r="F139" s="15">
        <f>IF($A139="","",SUMIF(VENDAS!$B:$B,$A139,VENDAS!$D:$D))</f>
        <v/>
      </c>
      <c r="G139" s="16">
        <f>IF($A139="","",SUMIF(COMPRAS!$B:$B,$A139,COMPRAS!$F:$F))</f>
        <v/>
      </c>
      <c r="H139" s="16">
        <f>IF($A139="","",SUMIF(VENDAS!$B:$B,$A139,VENDAS!$E:$E))</f>
        <v/>
      </c>
      <c r="I139" s="16">
        <f>IF($A139="","",H139-G139)</f>
        <v/>
      </c>
      <c r="J139" s="19">
        <f>IF($A139="","",SUMIF(COMPRAS!$B:$B,$A139,COMPRAS!$L:$L))</f>
        <v/>
      </c>
      <c r="K139" s="19">
        <f>IF($A139="","",SUMIF(VENDAS!$B:$B,$A139,VENDAS!$K:$K))</f>
        <v/>
      </c>
      <c r="L139" s="14">
        <f>IF($A139="","",IF(F139&gt;=E139,"FECHADO","ABERTO"))</f>
        <v/>
      </c>
      <c r="M139" s="19">
        <f>IF($A139="","",K139-J139)</f>
        <v/>
      </c>
    </row>
    <row r="140">
      <c r="A140" s="21" t="n"/>
      <c r="B140" s="20">
        <f>IF(OR($A140="",COUNTIF(COMPRAS!$B:$B,$A140)=0),"",MINIFS(COMPRAS!$A:$A,COMPRAS!$B:$B,$A140))</f>
        <v/>
      </c>
      <c r="C140" s="20">
        <f>IF(OR($A140="",COUNTIF(VENDAS!$B:$B,$A140)=0),"",MAXIFS(VENDAS!$A:$A,VENDAS!$B:$B,$A140))</f>
        <v/>
      </c>
      <c r="D140" s="22">
        <f>IF(OR($A140="",B140=""),"",IF(C140="",TODAY()-B140,C140-B140))</f>
        <v/>
      </c>
      <c r="E140" s="22">
        <f>IF($A140="","",SUMIF(COMPRAS!$B:$B,$A140,COMPRAS!$E:$E))</f>
        <v/>
      </c>
      <c r="F140" s="22">
        <f>IF($A140="","",SUMIF(VENDAS!$B:$B,$A140,VENDAS!$D:$D))</f>
        <v/>
      </c>
      <c r="G140" s="23">
        <f>IF($A140="","",SUMIF(COMPRAS!$B:$B,$A140,COMPRAS!$F:$F))</f>
        <v/>
      </c>
      <c r="H140" s="23">
        <f>IF($A140="","",SUMIF(VENDAS!$B:$B,$A140,VENDAS!$E:$E))</f>
        <v/>
      </c>
      <c r="I140" s="23">
        <f>IF($A140="","",H140-G140)</f>
        <v/>
      </c>
      <c r="J140" s="26">
        <f>IF($A140="","",SUMIF(COMPRAS!$B:$B,$A140,COMPRAS!$L:$L))</f>
        <v/>
      </c>
      <c r="K140" s="26">
        <f>IF($A140="","",SUMIF(VENDAS!$B:$B,$A140,VENDAS!$K:$K))</f>
        <v/>
      </c>
      <c r="L140" s="21">
        <f>IF($A140="","",IF(F140&gt;=E140,"FECHADO","ABERTO"))</f>
        <v/>
      </c>
      <c r="M140" s="26">
        <f>IF($A140="","",K140-J140)</f>
        <v/>
      </c>
    </row>
    <row r="141">
      <c r="A141" s="14" t="n"/>
      <c r="B141" s="13">
        <f>IF(OR($A141="",COUNTIF(COMPRAS!$B:$B,$A141)=0),"",MINIFS(COMPRAS!$A:$A,COMPRAS!$B:$B,$A141))</f>
        <v/>
      </c>
      <c r="C141" s="13">
        <f>IF(OR($A141="",COUNTIF(VENDAS!$B:$B,$A141)=0),"",MAXIFS(VENDAS!$A:$A,VENDAS!$B:$B,$A141))</f>
        <v/>
      </c>
      <c r="D141" s="15">
        <f>IF(OR($A141="",B141=""),"",IF(C141="",TODAY()-B141,C141-B141))</f>
        <v/>
      </c>
      <c r="E141" s="15">
        <f>IF($A141="","",SUMIF(COMPRAS!$B:$B,$A141,COMPRAS!$E:$E))</f>
        <v/>
      </c>
      <c r="F141" s="15">
        <f>IF($A141="","",SUMIF(VENDAS!$B:$B,$A141,VENDAS!$D:$D))</f>
        <v/>
      </c>
      <c r="G141" s="16">
        <f>IF($A141="","",SUMIF(COMPRAS!$B:$B,$A141,COMPRAS!$F:$F))</f>
        <v/>
      </c>
      <c r="H141" s="16">
        <f>IF($A141="","",SUMIF(VENDAS!$B:$B,$A141,VENDAS!$E:$E))</f>
        <v/>
      </c>
      <c r="I141" s="16">
        <f>IF($A141="","",H141-G141)</f>
        <v/>
      </c>
      <c r="J141" s="19">
        <f>IF($A141="","",SUMIF(COMPRAS!$B:$B,$A141,COMPRAS!$L:$L))</f>
        <v/>
      </c>
      <c r="K141" s="19">
        <f>IF($A141="","",SUMIF(VENDAS!$B:$B,$A141,VENDAS!$K:$K))</f>
        <v/>
      </c>
      <c r="L141" s="14">
        <f>IF($A141="","",IF(F141&gt;=E141,"FECHADO","ABERTO"))</f>
        <v/>
      </c>
      <c r="M141" s="19">
        <f>IF($A141="","",K141-J141)</f>
        <v/>
      </c>
    </row>
    <row r="142">
      <c r="A142" s="21" t="n"/>
      <c r="B142" s="20">
        <f>IF(OR($A142="",COUNTIF(COMPRAS!$B:$B,$A142)=0),"",MINIFS(COMPRAS!$A:$A,COMPRAS!$B:$B,$A142))</f>
        <v/>
      </c>
      <c r="C142" s="20">
        <f>IF(OR($A142="",COUNTIF(VENDAS!$B:$B,$A142)=0),"",MAXIFS(VENDAS!$A:$A,VENDAS!$B:$B,$A142))</f>
        <v/>
      </c>
      <c r="D142" s="22">
        <f>IF(OR($A142="",B142=""),"",IF(C142="",TODAY()-B142,C142-B142))</f>
        <v/>
      </c>
      <c r="E142" s="22">
        <f>IF($A142="","",SUMIF(COMPRAS!$B:$B,$A142,COMPRAS!$E:$E))</f>
        <v/>
      </c>
      <c r="F142" s="22">
        <f>IF($A142="","",SUMIF(VENDAS!$B:$B,$A142,VENDAS!$D:$D))</f>
        <v/>
      </c>
      <c r="G142" s="23">
        <f>IF($A142="","",SUMIF(COMPRAS!$B:$B,$A142,COMPRAS!$F:$F))</f>
        <v/>
      </c>
      <c r="H142" s="23">
        <f>IF($A142="","",SUMIF(VENDAS!$B:$B,$A142,VENDAS!$E:$E))</f>
        <v/>
      </c>
      <c r="I142" s="23">
        <f>IF($A142="","",H142-G142)</f>
        <v/>
      </c>
      <c r="J142" s="26">
        <f>IF($A142="","",SUMIF(COMPRAS!$B:$B,$A142,COMPRAS!$L:$L))</f>
        <v/>
      </c>
      <c r="K142" s="26">
        <f>IF($A142="","",SUMIF(VENDAS!$B:$B,$A142,VENDAS!$K:$K))</f>
        <v/>
      </c>
      <c r="L142" s="21">
        <f>IF($A142="","",IF(F142&gt;=E142,"FECHADO","ABERTO"))</f>
        <v/>
      </c>
      <c r="M142" s="26">
        <f>IF($A142="","",K142-J142)</f>
        <v/>
      </c>
    </row>
    <row r="143">
      <c r="A143" s="14" t="n"/>
      <c r="B143" s="13">
        <f>IF(OR($A143="",COUNTIF(COMPRAS!$B:$B,$A143)=0),"",MINIFS(COMPRAS!$A:$A,COMPRAS!$B:$B,$A143))</f>
        <v/>
      </c>
      <c r="C143" s="13">
        <f>IF(OR($A143="",COUNTIF(VENDAS!$B:$B,$A143)=0),"",MAXIFS(VENDAS!$A:$A,VENDAS!$B:$B,$A143))</f>
        <v/>
      </c>
      <c r="D143" s="15">
        <f>IF(OR($A143="",B143=""),"",IF(C143="",TODAY()-B143,C143-B143))</f>
        <v/>
      </c>
      <c r="E143" s="15">
        <f>IF($A143="","",SUMIF(COMPRAS!$B:$B,$A143,COMPRAS!$E:$E))</f>
        <v/>
      </c>
      <c r="F143" s="15">
        <f>IF($A143="","",SUMIF(VENDAS!$B:$B,$A143,VENDAS!$D:$D))</f>
        <v/>
      </c>
      <c r="G143" s="16">
        <f>IF($A143="","",SUMIF(COMPRAS!$B:$B,$A143,COMPRAS!$F:$F))</f>
        <v/>
      </c>
      <c r="H143" s="16">
        <f>IF($A143="","",SUMIF(VENDAS!$B:$B,$A143,VENDAS!$E:$E))</f>
        <v/>
      </c>
      <c r="I143" s="16">
        <f>IF($A143="","",H143-G143)</f>
        <v/>
      </c>
      <c r="J143" s="19">
        <f>IF($A143="","",SUMIF(COMPRAS!$B:$B,$A143,COMPRAS!$L:$L))</f>
        <v/>
      </c>
      <c r="K143" s="19">
        <f>IF($A143="","",SUMIF(VENDAS!$B:$B,$A143,VENDAS!$K:$K))</f>
        <v/>
      </c>
      <c r="L143" s="14">
        <f>IF($A143="","",IF(F143&gt;=E143,"FECHADO","ABERTO"))</f>
        <v/>
      </c>
      <c r="M143" s="19">
        <f>IF($A143="","",K143-J143)</f>
        <v/>
      </c>
    </row>
    <row r="144">
      <c r="A144" s="21" t="n"/>
      <c r="B144" s="20">
        <f>IF(OR($A144="",COUNTIF(COMPRAS!$B:$B,$A144)=0),"",MINIFS(COMPRAS!$A:$A,COMPRAS!$B:$B,$A144))</f>
        <v/>
      </c>
      <c r="C144" s="20">
        <f>IF(OR($A144="",COUNTIF(VENDAS!$B:$B,$A144)=0),"",MAXIFS(VENDAS!$A:$A,VENDAS!$B:$B,$A144))</f>
        <v/>
      </c>
      <c r="D144" s="22">
        <f>IF(OR($A144="",B144=""),"",IF(C144="",TODAY()-B144,C144-B144))</f>
        <v/>
      </c>
      <c r="E144" s="22">
        <f>IF($A144="","",SUMIF(COMPRAS!$B:$B,$A144,COMPRAS!$E:$E))</f>
        <v/>
      </c>
      <c r="F144" s="22">
        <f>IF($A144="","",SUMIF(VENDAS!$B:$B,$A144,VENDAS!$D:$D))</f>
        <v/>
      </c>
      <c r="G144" s="23">
        <f>IF($A144="","",SUMIF(COMPRAS!$B:$B,$A144,COMPRAS!$F:$F))</f>
        <v/>
      </c>
      <c r="H144" s="23">
        <f>IF($A144="","",SUMIF(VENDAS!$B:$B,$A144,VENDAS!$E:$E))</f>
        <v/>
      </c>
      <c r="I144" s="23">
        <f>IF($A144="","",H144-G144)</f>
        <v/>
      </c>
      <c r="J144" s="26">
        <f>IF($A144="","",SUMIF(COMPRAS!$B:$B,$A144,COMPRAS!$L:$L))</f>
        <v/>
      </c>
      <c r="K144" s="26">
        <f>IF($A144="","",SUMIF(VENDAS!$B:$B,$A144,VENDAS!$K:$K))</f>
        <v/>
      </c>
      <c r="L144" s="21">
        <f>IF($A144="","",IF(F144&gt;=E144,"FECHADO","ABERTO"))</f>
        <v/>
      </c>
      <c r="M144" s="26">
        <f>IF($A144="","",K144-J144)</f>
        <v/>
      </c>
    </row>
    <row r="145">
      <c r="A145" s="14" t="n"/>
      <c r="B145" s="13">
        <f>IF(OR($A145="",COUNTIF(COMPRAS!$B:$B,$A145)=0),"",MINIFS(COMPRAS!$A:$A,COMPRAS!$B:$B,$A145))</f>
        <v/>
      </c>
      <c r="C145" s="13">
        <f>IF(OR($A145="",COUNTIF(VENDAS!$B:$B,$A145)=0),"",MAXIFS(VENDAS!$A:$A,VENDAS!$B:$B,$A145))</f>
        <v/>
      </c>
      <c r="D145" s="15">
        <f>IF(OR($A145="",B145=""),"",IF(C145="",TODAY()-B145,C145-B145))</f>
        <v/>
      </c>
      <c r="E145" s="15">
        <f>IF($A145="","",SUMIF(COMPRAS!$B:$B,$A145,COMPRAS!$E:$E))</f>
        <v/>
      </c>
      <c r="F145" s="15">
        <f>IF($A145="","",SUMIF(VENDAS!$B:$B,$A145,VENDAS!$D:$D))</f>
        <v/>
      </c>
      <c r="G145" s="16">
        <f>IF($A145="","",SUMIF(COMPRAS!$B:$B,$A145,COMPRAS!$F:$F))</f>
        <v/>
      </c>
      <c r="H145" s="16">
        <f>IF($A145="","",SUMIF(VENDAS!$B:$B,$A145,VENDAS!$E:$E))</f>
        <v/>
      </c>
      <c r="I145" s="16">
        <f>IF($A145="","",H145-G145)</f>
        <v/>
      </c>
      <c r="J145" s="19">
        <f>IF($A145="","",SUMIF(COMPRAS!$B:$B,$A145,COMPRAS!$L:$L))</f>
        <v/>
      </c>
      <c r="K145" s="19">
        <f>IF($A145="","",SUMIF(VENDAS!$B:$B,$A145,VENDAS!$K:$K))</f>
        <v/>
      </c>
      <c r="L145" s="14">
        <f>IF($A145="","",IF(F145&gt;=E145,"FECHADO","ABERTO"))</f>
        <v/>
      </c>
      <c r="M145" s="19">
        <f>IF($A145="","",K145-J145)</f>
        <v/>
      </c>
    </row>
    <row r="146">
      <c r="A146" s="21" t="n"/>
      <c r="B146" s="20">
        <f>IF(OR($A146="",COUNTIF(COMPRAS!$B:$B,$A146)=0),"",MINIFS(COMPRAS!$A:$A,COMPRAS!$B:$B,$A146))</f>
        <v/>
      </c>
      <c r="C146" s="20">
        <f>IF(OR($A146="",COUNTIF(VENDAS!$B:$B,$A146)=0),"",MAXIFS(VENDAS!$A:$A,VENDAS!$B:$B,$A146))</f>
        <v/>
      </c>
      <c r="D146" s="22">
        <f>IF(OR($A146="",B146=""),"",IF(C146="",TODAY()-B146,C146-B146))</f>
        <v/>
      </c>
      <c r="E146" s="22">
        <f>IF($A146="","",SUMIF(COMPRAS!$B:$B,$A146,COMPRAS!$E:$E))</f>
        <v/>
      </c>
      <c r="F146" s="22">
        <f>IF($A146="","",SUMIF(VENDAS!$B:$B,$A146,VENDAS!$D:$D))</f>
        <v/>
      </c>
      <c r="G146" s="23">
        <f>IF($A146="","",SUMIF(COMPRAS!$B:$B,$A146,COMPRAS!$F:$F))</f>
        <v/>
      </c>
      <c r="H146" s="23">
        <f>IF($A146="","",SUMIF(VENDAS!$B:$B,$A146,VENDAS!$E:$E))</f>
        <v/>
      </c>
      <c r="I146" s="23">
        <f>IF($A146="","",H146-G146)</f>
        <v/>
      </c>
      <c r="J146" s="26">
        <f>IF($A146="","",SUMIF(COMPRAS!$B:$B,$A146,COMPRAS!$L:$L))</f>
        <v/>
      </c>
      <c r="K146" s="26">
        <f>IF($A146="","",SUMIF(VENDAS!$B:$B,$A146,VENDAS!$K:$K))</f>
        <v/>
      </c>
      <c r="L146" s="21">
        <f>IF($A146="","",IF(F146&gt;=E146,"FECHADO","ABERTO"))</f>
        <v/>
      </c>
      <c r="M146" s="26">
        <f>IF($A146="","",K146-J146)</f>
        <v/>
      </c>
    </row>
    <row r="147">
      <c r="A147" s="14" t="n"/>
      <c r="B147" s="13">
        <f>IF(OR($A147="",COUNTIF(COMPRAS!$B:$B,$A147)=0),"",MINIFS(COMPRAS!$A:$A,COMPRAS!$B:$B,$A147))</f>
        <v/>
      </c>
      <c r="C147" s="13">
        <f>IF(OR($A147="",COUNTIF(VENDAS!$B:$B,$A147)=0),"",MAXIFS(VENDAS!$A:$A,VENDAS!$B:$B,$A147))</f>
        <v/>
      </c>
      <c r="D147" s="15">
        <f>IF(OR($A147="",B147=""),"",IF(C147="",TODAY()-B147,C147-B147))</f>
        <v/>
      </c>
      <c r="E147" s="15">
        <f>IF($A147="","",SUMIF(COMPRAS!$B:$B,$A147,COMPRAS!$E:$E))</f>
        <v/>
      </c>
      <c r="F147" s="15">
        <f>IF($A147="","",SUMIF(VENDAS!$B:$B,$A147,VENDAS!$D:$D))</f>
        <v/>
      </c>
      <c r="G147" s="16">
        <f>IF($A147="","",SUMIF(COMPRAS!$B:$B,$A147,COMPRAS!$F:$F))</f>
        <v/>
      </c>
      <c r="H147" s="16">
        <f>IF($A147="","",SUMIF(VENDAS!$B:$B,$A147,VENDAS!$E:$E))</f>
        <v/>
      </c>
      <c r="I147" s="16">
        <f>IF($A147="","",H147-G147)</f>
        <v/>
      </c>
      <c r="J147" s="19">
        <f>IF($A147="","",SUMIF(COMPRAS!$B:$B,$A147,COMPRAS!$L:$L))</f>
        <v/>
      </c>
      <c r="K147" s="19">
        <f>IF($A147="","",SUMIF(VENDAS!$B:$B,$A147,VENDAS!$K:$K))</f>
        <v/>
      </c>
      <c r="L147" s="14">
        <f>IF($A147="","",IF(F147&gt;=E147,"FECHADO","ABERTO"))</f>
        <v/>
      </c>
      <c r="M147" s="19">
        <f>IF($A147="","",K147-J147)</f>
        <v/>
      </c>
    </row>
    <row r="148">
      <c r="A148" s="21" t="n"/>
      <c r="B148" s="20">
        <f>IF(OR($A148="",COUNTIF(COMPRAS!$B:$B,$A148)=0),"",MINIFS(COMPRAS!$A:$A,COMPRAS!$B:$B,$A148))</f>
        <v/>
      </c>
      <c r="C148" s="20">
        <f>IF(OR($A148="",COUNTIF(VENDAS!$B:$B,$A148)=0),"",MAXIFS(VENDAS!$A:$A,VENDAS!$B:$B,$A148))</f>
        <v/>
      </c>
      <c r="D148" s="22">
        <f>IF(OR($A148="",B148=""),"",IF(C148="",TODAY()-B148,C148-B148))</f>
        <v/>
      </c>
      <c r="E148" s="22">
        <f>IF($A148="","",SUMIF(COMPRAS!$B:$B,$A148,COMPRAS!$E:$E))</f>
        <v/>
      </c>
      <c r="F148" s="22">
        <f>IF($A148="","",SUMIF(VENDAS!$B:$B,$A148,VENDAS!$D:$D))</f>
        <v/>
      </c>
      <c r="G148" s="23">
        <f>IF($A148="","",SUMIF(COMPRAS!$B:$B,$A148,COMPRAS!$F:$F))</f>
        <v/>
      </c>
      <c r="H148" s="23">
        <f>IF($A148="","",SUMIF(VENDAS!$B:$B,$A148,VENDAS!$E:$E))</f>
        <v/>
      </c>
      <c r="I148" s="23">
        <f>IF($A148="","",H148-G148)</f>
        <v/>
      </c>
      <c r="J148" s="26">
        <f>IF($A148="","",SUMIF(COMPRAS!$B:$B,$A148,COMPRAS!$L:$L))</f>
        <v/>
      </c>
      <c r="K148" s="26">
        <f>IF($A148="","",SUMIF(VENDAS!$B:$B,$A148,VENDAS!$K:$K))</f>
        <v/>
      </c>
      <c r="L148" s="21">
        <f>IF($A148="","",IF(F148&gt;=E148,"FECHADO","ABERTO"))</f>
        <v/>
      </c>
      <c r="M148" s="26">
        <f>IF($A148="","",K148-J148)</f>
        <v/>
      </c>
    </row>
    <row r="149">
      <c r="A149" s="14" t="n"/>
      <c r="B149" s="13">
        <f>IF(OR($A149="",COUNTIF(COMPRAS!$B:$B,$A149)=0),"",MINIFS(COMPRAS!$A:$A,COMPRAS!$B:$B,$A149))</f>
        <v/>
      </c>
      <c r="C149" s="13">
        <f>IF(OR($A149="",COUNTIF(VENDAS!$B:$B,$A149)=0),"",MAXIFS(VENDAS!$A:$A,VENDAS!$B:$B,$A149))</f>
        <v/>
      </c>
      <c r="D149" s="15">
        <f>IF(OR($A149="",B149=""),"",IF(C149="",TODAY()-B149,C149-B149))</f>
        <v/>
      </c>
      <c r="E149" s="15">
        <f>IF($A149="","",SUMIF(COMPRAS!$B:$B,$A149,COMPRAS!$E:$E))</f>
        <v/>
      </c>
      <c r="F149" s="15">
        <f>IF($A149="","",SUMIF(VENDAS!$B:$B,$A149,VENDAS!$D:$D))</f>
        <v/>
      </c>
      <c r="G149" s="16">
        <f>IF($A149="","",SUMIF(COMPRAS!$B:$B,$A149,COMPRAS!$F:$F))</f>
        <v/>
      </c>
      <c r="H149" s="16">
        <f>IF($A149="","",SUMIF(VENDAS!$B:$B,$A149,VENDAS!$E:$E))</f>
        <v/>
      </c>
      <c r="I149" s="16">
        <f>IF($A149="","",H149-G149)</f>
        <v/>
      </c>
      <c r="J149" s="19">
        <f>IF($A149="","",SUMIF(COMPRAS!$B:$B,$A149,COMPRAS!$L:$L))</f>
        <v/>
      </c>
      <c r="K149" s="19">
        <f>IF($A149="","",SUMIF(VENDAS!$B:$B,$A149,VENDAS!$K:$K))</f>
        <v/>
      </c>
      <c r="L149" s="14">
        <f>IF($A149="","",IF(F149&gt;=E149,"FECHADO","ABERTO"))</f>
        <v/>
      </c>
      <c r="M149" s="19">
        <f>IF($A149="","",K149-J149)</f>
        <v/>
      </c>
    </row>
    <row r="150">
      <c r="A150" s="21" t="n"/>
      <c r="B150" s="20">
        <f>IF(OR($A150="",COUNTIF(COMPRAS!$B:$B,$A150)=0),"",MINIFS(COMPRAS!$A:$A,COMPRAS!$B:$B,$A150))</f>
        <v/>
      </c>
      <c r="C150" s="20">
        <f>IF(OR($A150="",COUNTIF(VENDAS!$B:$B,$A150)=0),"",MAXIFS(VENDAS!$A:$A,VENDAS!$B:$B,$A150))</f>
        <v/>
      </c>
      <c r="D150" s="22">
        <f>IF(OR($A150="",B150=""),"",IF(C150="",TODAY()-B150,C150-B150))</f>
        <v/>
      </c>
      <c r="E150" s="22">
        <f>IF($A150="","",SUMIF(COMPRAS!$B:$B,$A150,COMPRAS!$E:$E))</f>
        <v/>
      </c>
      <c r="F150" s="22">
        <f>IF($A150="","",SUMIF(VENDAS!$B:$B,$A150,VENDAS!$D:$D))</f>
        <v/>
      </c>
      <c r="G150" s="23">
        <f>IF($A150="","",SUMIF(COMPRAS!$B:$B,$A150,COMPRAS!$F:$F))</f>
        <v/>
      </c>
      <c r="H150" s="23">
        <f>IF($A150="","",SUMIF(VENDAS!$B:$B,$A150,VENDAS!$E:$E))</f>
        <v/>
      </c>
      <c r="I150" s="23">
        <f>IF($A150="","",H150-G150)</f>
        <v/>
      </c>
      <c r="J150" s="26">
        <f>IF($A150="","",SUMIF(COMPRAS!$B:$B,$A150,COMPRAS!$L:$L))</f>
        <v/>
      </c>
      <c r="K150" s="26">
        <f>IF($A150="","",SUMIF(VENDAS!$B:$B,$A150,VENDAS!$K:$K))</f>
        <v/>
      </c>
      <c r="L150" s="21">
        <f>IF($A150="","",IF(F150&gt;=E150,"FECHADO","ABERTO"))</f>
        <v/>
      </c>
      <c r="M150" s="26">
        <f>IF($A150="","",K150-J150)</f>
        <v/>
      </c>
    </row>
    <row r="151">
      <c r="A151" s="14" t="n"/>
      <c r="B151" s="13">
        <f>IF(OR($A151="",COUNTIF(COMPRAS!$B:$B,$A151)=0),"",MINIFS(COMPRAS!$A:$A,COMPRAS!$B:$B,$A151))</f>
        <v/>
      </c>
      <c r="C151" s="13">
        <f>IF(OR($A151="",COUNTIF(VENDAS!$B:$B,$A151)=0),"",MAXIFS(VENDAS!$A:$A,VENDAS!$B:$B,$A151))</f>
        <v/>
      </c>
      <c r="D151" s="15">
        <f>IF(OR($A151="",B151=""),"",IF(C151="",TODAY()-B151,C151-B151))</f>
        <v/>
      </c>
      <c r="E151" s="15">
        <f>IF($A151="","",SUMIF(COMPRAS!$B:$B,$A151,COMPRAS!$E:$E))</f>
        <v/>
      </c>
      <c r="F151" s="15">
        <f>IF($A151="","",SUMIF(VENDAS!$B:$B,$A151,VENDAS!$D:$D))</f>
        <v/>
      </c>
      <c r="G151" s="16">
        <f>IF($A151="","",SUMIF(COMPRAS!$B:$B,$A151,COMPRAS!$F:$F))</f>
        <v/>
      </c>
      <c r="H151" s="16">
        <f>IF($A151="","",SUMIF(VENDAS!$B:$B,$A151,VENDAS!$E:$E))</f>
        <v/>
      </c>
      <c r="I151" s="16">
        <f>IF($A151="","",H151-G151)</f>
        <v/>
      </c>
      <c r="J151" s="19">
        <f>IF($A151="","",SUMIF(COMPRAS!$B:$B,$A151,COMPRAS!$L:$L))</f>
        <v/>
      </c>
      <c r="K151" s="19">
        <f>IF($A151="","",SUMIF(VENDAS!$B:$B,$A151,VENDAS!$K:$K))</f>
        <v/>
      </c>
      <c r="L151" s="14">
        <f>IF($A151="","",IF(F151&gt;=E151,"FECHADO","ABERTO"))</f>
        <v/>
      </c>
      <c r="M151" s="19">
        <f>IF($A151="","",K151-J151)</f>
        <v/>
      </c>
    </row>
    <row r="152">
      <c r="A152" s="21" t="n"/>
      <c r="B152" s="20">
        <f>IF(OR($A152="",COUNTIF(COMPRAS!$B:$B,$A152)=0),"",MINIFS(COMPRAS!$A:$A,COMPRAS!$B:$B,$A152))</f>
        <v/>
      </c>
      <c r="C152" s="20">
        <f>IF(OR($A152="",COUNTIF(VENDAS!$B:$B,$A152)=0),"",MAXIFS(VENDAS!$A:$A,VENDAS!$B:$B,$A152))</f>
        <v/>
      </c>
      <c r="D152" s="22">
        <f>IF(OR($A152="",B152=""),"",IF(C152="",TODAY()-B152,C152-B152))</f>
        <v/>
      </c>
      <c r="E152" s="22">
        <f>IF($A152="","",SUMIF(COMPRAS!$B:$B,$A152,COMPRAS!$E:$E))</f>
        <v/>
      </c>
      <c r="F152" s="22">
        <f>IF($A152="","",SUMIF(VENDAS!$B:$B,$A152,VENDAS!$D:$D))</f>
        <v/>
      </c>
      <c r="G152" s="23">
        <f>IF($A152="","",SUMIF(COMPRAS!$B:$B,$A152,COMPRAS!$F:$F))</f>
        <v/>
      </c>
      <c r="H152" s="23">
        <f>IF($A152="","",SUMIF(VENDAS!$B:$B,$A152,VENDAS!$E:$E))</f>
        <v/>
      </c>
      <c r="I152" s="23">
        <f>IF($A152="","",H152-G152)</f>
        <v/>
      </c>
      <c r="J152" s="26">
        <f>IF($A152="","",SUMIF(COMPRAS!$B:$B,$A152,COMPRAS!$L:$L))</f>
        <v/>
      </c>
      <c r="K152" s="26">
        <f>IF($A152="","",SUMIF(VENDAS!$B:$B,$A152,VENDAS!$K:$K))</f>
        <v/>
      </c>
      <c r="L152" s="21">
        <f>IF($A152="","",IF(F152&gt;=E152,"FECHADO","ABERTO"))</f>
        <v/>
      </c>
      <c r="M152" s="26">
        <f>IF($A152="","",K152-J152)</f>
        <v/>
      </c>
    </row>
    <row r="153">
      <c r="A153" s="14" t="n"/>
      <c r="B153" s="13">
        <f>IF(OR($A153="",COUNTIF(COMPRAS!$B:$B,$A153)=0),"",MINIFS(COMPRAS!$A:$A,COMPRAS!$B:$B,$A153))</f>
        <v/>
      </c>
      <c r="C153" s="13">
        <f>IF(OR($A153="",COUNTIF(VENDAS!$B:$B,$A153)=0),"",MAXIFS(VENDAS!$A:$A,VENDAS!$B:$B,$A153))</f>
        <v/>
      </c>
      <c r="D153" s="15">
        <f>IF(OR($A153="",B153=""),"",IF(C153="",TODAY()-B153,C153-B153))</f>
        <v/>
      </c>
      <c r="E153" s="15">
        <f>IF($A153="","",SUMIF(COMPRAS!$B:$B,$A153,COMPRAS!$E:$E))</f>
        <v/>
      </c>
      <c r="F153" s="15">
        <f>IF($A153="","",SUMIF(VENDAS!$B:$B,$A153,VENDAS!$D:$D))</f>
        <v/>
      </c>
      <c r="G153" s="16">
        <f>IF($A153="","",SUMIF(COMPRAS!$B:$B,$A153,COMPRAS!$F:$F))</f>
        <v/>
      </c>
      <c r="H153" s="16">
        <f>IF($A153="","",SUMIF(VENDAS!$B:$B,$A153,VENDAS!$E:$E))</f>
        <v/>
      </c>
      <c r="I153" s="16">
        <f>IF($A153="","",H153-G153)</f>
        <v/>
      </c>
      <c r="J153" s="19">
        <f>IF($A153="","",SUMIF(COMPRAS!$B:$B,$A153,COMPRAS!$L:$L))</f>
        <v/>
      </c>
      <c r="K153" s="19">
        <f>IF($A153="","",SUMIF(VENDAS!$B:$B,$A153,VENDAS!$K:$K))</f>
        <v/>
      </c>
      <c r="L153" s="14">
        <f>IF($A153="","",IF(F153&gt;=E153,"FECHADO","ABERTO"))</f>
        <v/>
      </c>
      <c r="M153" s="19">
        <f>IF($A153="","",K153-J153)</f>
        <v/>
      </c>
    </row>
    <row r="154">
      <c r="A154" s="21" t="n"/>
      <c r="B154" s="20">
        <f>IF(OR($A154="",COUNTIF(COMPRAS!$B:$B,$A154)=0),"",MINIFS(COMPRAS!$A:$A,COMPRAS!$B:$B,$A154))</f>
        <v/>
      </c>
      <c r="C154" s="20">
        <f>IF(OR($A154="",COUNTIF(VENDAS!$B:$B,$A154)=0),"",MAXIFS(VENDAS!$A:$A,VENDAS!$B:$B,$A154))</f>
        <v/>
      </c>
      <c r="D154" s="22">
        <f>IF(OR($A154="",B154=""),"",IF(C154="",TODAY()-B154,C154-B154))</f>
        <v/>
      </c>
      <c r="E154" s="22">
        <f>IF($A154="","",SUMIF(COMPRAS!$B:$B,$A154,COMPRAS!$E:$E))</f>
        <v/>
      </c>
      <c r="F154" s="22">
        <f>IF($A154="","",SUMIF(VENDAS!$B:$B,$A154,VENDAS!$D:$D))</f>
        <v/>
      </c>
      <c r="G154" s="23">
        <f>IF($A154="","",SUMIF(COMPRAS!$B:$B,$A154,COMPRAS!$F:$F))</f>
        <v/>
      </c>
      <c r="H154" s="23">
        <f>IF($A154="","",SUMIF(VENDAS!$B:$B,$A154,VENDAS!$E:$E))</f>
        <v/>
      </c>
      <c r="I154" s="23">
        <f>IF($A154="","",H154-G154)</f>
        <v/>
      </c>
      <c r="J154" s="26">
        <f>IF($A154="","",SUMIF(COMPRAS!$B:$B,$A154,COMPRAS!$L:$L))</f>
        <v/>
      </c>
      <c r="K154" s="26">
        <f>IF($A154="","",SUMIF(VENDAS!$B:$B,$A154,VENDAS!$K:$K))</f>
        <v/>
      </c>
      <c r="L154" s="21">
        <f>IF($A154="","",IF(F154&gt;=E154,"FECHADO","ABERTO"))</f>
        <v/>
      </c>
      <c r="M154" s="26">
        <f>IF($A154="","",K154-J154)</f>
        <v/>
      </c>
    </row>
    <row r="155">
      <c r="A155" s="14" t="n"/>
      <c r="B155" s="13">
        <f>IF(OR($A155="",COUNTIF(COMPRAS!$B:$B,$A155)=0),"",MINIFS(COMPRAS!$A:$A,COMPRAS!$B:$B,$A155))</f>
        <v/>
      </c>
      <c r="C155" s="13">
        <f>IF(OR($A155="",COUNTIF(VENDAS!$B:$B,$A155)=0),"",MAXIFS(VENDAS!$A:$A,VENDAS!$B:$B,$A155))</f>
        <v/>
      </c>
      <c r="D155" s="15">
        <f>IF(OR($A155="",B155=""),"",IF(C155="",TODAY()-B155,C155-B155))</f>
        <v/>
      </c>
      <c r="E155" s="15">
        <f>IF($A155="","",SUMIF(COMPRAS!$B:$B,$A155,COMPRAS!$E:$E))</f>
        <v/>
      </c>
      <c r="F155" s="15">
        <f>IF($A155="","",SUMIF(VENDAS!$B:$B,$A155,VENDAS!$D:$D))</f>
        <v/>
      </c>
      <c r="G155" s="16">
        <f>IF($A155="","",SUMIF(COMPRAS!$B:$B,$A155,COMPRAS!$F:$F))</f>
        <v/>
      </c>
      <c r="H155" s="16">
        <f>IF($A155="","",SUMIF(VENDAS!$B:$B,$A155,VENDAS!$E:$E))</f>
        <v/>
      </c>
      <c r="I155" s="16">
        <f>IF($A155="","",H155-G155)</f>
        <v/>
      </c>
      <c r="J155" s="19">
        <f>IF($A155="","",SUMIF(COMPRAS!$B:$B,$A155,COMPRAS!$L:$L))</f>
        <v/>
      </c>
      <c r="K155" s="19">
        <f>IF($A155="","",SUMIF(VENDAS!$B:$B,$A155,VENDAS!$K:$K))</f>
        <v/>
      </c>
      <c r="L155" s="14">
        <f>IF($A155="","",IF(F155&gt;=E155,"FECHADO","ABERTO"))</f>
        <v/>
      </c>
      <c r="M155" s="19">
        <f>IF($A155="","",K155-J155)</f>
        <v/>
      </c>
    </row>
    <row r="156">
      <c r="A156" s="21" t="n"/>
      <c r="B156" s="20">
        <f>IF(OR($A156="",COUNTIF(COMPRAS!$B:$B,$A156)=0),"",MINIFS(COMPRAS!$A:$A,COMPRAS!$B:$B,$A156))</f>
        <v/>
      </c>
      <c r="C156" s="20">
        <f>IF(OR($A156="",COUNTIF(VENDAS!$B:$B,$A156)=0),"",MAXIFS(VENDAS!$A:$A,VENDAS!$B:$B,$A156))</f>
        <v/>
      </c>
      <c r="D156" s="22">
        <f>IF(OR($A156="",B156=""),"",IF(C156="",TODAY()-B156,C156-B156))</f>
        <v/>
      </c>
      <c r="E156" s="22">
        <f>IF($A156="","",SUMIF(COMPRAS!$B:$B,$A156,COMPRAS!$E:$E))</f>
        <v/>
      </c>
      <c r="F156" s="22">
        <f>IF($A156="","",SUMIF(VENDAS!$B:$B,$A156,VENDAS!$D:$D))</f>
        <v/>
      </c>
      <c r="G156" s="23">
        <f>IF($A156="","",SUMIF(COMPRAS!$B:$B,$A156,COMPRAS!$F:$F))</f>
        <v/>
      </c>
      <c r="H156" s="23">
        <f>IF($A156="","",SUMIF(VENDAS!$B:$B,$A156,VENDAS!$E:$E))</f>
        <v/>
      </c>
      <c r="I156" s="23">
        <f>IF($A156="","",H156-G156)</f>
        <v/>
      </c>
      <c r="J156" s="26">
        <f>IF($A156="","",SUMIF(COMPRAS!$B:$B,$A156,COMPRAS!$L:$L))</f>
        <v/>
      </c>
      <c r="K156" s="26">
        <f>IF($A156="","",SUMIF(VENDAS!$B:$B,$A156,VENDAS!$K:$K))</f>
        <v/>
      </c>
      <c r="L156" s="21">
        <f>IF($A156="","",IF(F156&gt;=E156,"FECHADO","ABERTO"))</f>
        <v/>
      </c>
      <c r="M156" s="26">
        <f>IF($A156="","",K156-J156)</f>
        <v/>
      </c>
    </row>
    <row r="157">
      <c r="A157" s="14" t="n"/>
      <c r="B157" s="13">
        <f>IF(OR($A157="",COUNTIF(COMPRAS!$B:$B,$A157)=0),"",MINIFS(COMPRAS!$A:$A,COMPRAS!$B:$B,$A157))</f>
        <v/>
      </c>
      <c r="C157" s="13">
        <f>IF(OR($A157="",COUNTIF(VENDAS!$B:$B,$A157)=0),"",MAXIFS(VENDAS!$A:$A,VENDAS!$B:$B,$A157))</f>
        <v/>
      </c>
      <c r="D157" s="15">
        <f>IF(OR($A157="",B157=""),"",IF(C157="",TODAY()-B157,C157-B157))</f>
        <v/>
      </c>
      <c r="E157" s="15">
        <f>IF($A157="","",SUMIF(COMPRAS!$B:$B,$A157,COMPRAS!$E:$E))</f>
        <v/>
      </c>
      <c r="F157" s="15">
        <f>IF($A157="","",SUMIF(VENDAS!$B:$B,$A157,VENDAS!$D:$D))</f>
        <v/>
      </c>
      <c r="G157" s="16">
        <f>IF($A157="","",SUMIF(COMPRAS!$B:$B,$A157,COMPRAS!$F:$F))</f>
        <v/>
      </c>
      <c r="H157" s="16">
        <f>IF($A157="","",SUMIF(VENDAS!$B:$B,$A157,VENDAS!$E:$E))</f>
        <v/>
      </c>
      <c r="I157" s="16">
        <f>IF($A157="","",H157-G157)</f>
        <v/>
      </c>
      <c r="J157" s="19">
        <f>IF($A157="","",SUMIF(COMPRAS!$B:$B,$A157,COMPRAS!$L:$L))</f>
        <v/>
      </c>
      <c r="K157" s="19">
        <f>IF($A157="","",SUMIF(VENDAS!$B:$B,$A157,VENDAS!$K:$K))</f>
        <v/>
      </c>
      <c r="L157" s="14">
        <f>IF($A157="","",IF(F157&gt;=E157,"FECHADO","ABERTO"))</f>
        <v/>
      </c>
      <c r="M157" s="19">
        <f>IF($A157="","",K157-J157)</f>
        <v/>
      </c>
    </row>
    <row r="158">
      <c r="A158" s="21" t="n"/>
      <c r="B158" s="20">
        <f>IF(OR($A158="",COUNTIF(COMPRAS!$B:$B,$A158)=0),"",MINIFS(COMPRAS!$A:$A,COMPRAS!$B:$B,$A158))</f>
        <v/>
      </c>
      <c r="C158" s="20">
        <f>IF(OR($A158="",COUNTIF(VENDAS!$B:$B,$A158)=0),"",MAXIFS(VENDAS!$A:$A,VENDAS!$B:$B,$A158))</f>
        <v/>
      </c>
      <c r="D158" s="22">
        <f>IF(OR($A158="",B158=""),"",IF(C158="",TODAY()-B158,C158-B158))</f>
        <v/>
      </c>
      <c r="E158" s="22">
        <f>IF($A158="","",SUMIF(COMPRAS!$B:$B,$A158,COMPRAS!$E:$E))</f>
        <v/>
      </c>
      <c r="F158" s="22">
        <f>IF($A158="","",SUMIF(VENDAS!$B:$B,$A158,VENDAS!$D:$D))</f>
        <v/>
      </c>
      <c r="G158" s="23">
        <f>IF($A158="","",SUMIF(COMPRAS!$B:$B,$A158,COMPRAS!$F:$F))</f>
        <v/>
      </c>
      <c r="H158" s="23">
        <f>IF($A158="","",SUMIF(VENDAS!$B:$B,$A158,VENDAS!$E:$E))</f>
        <v/>
      </c>
      <c r="I158" s="23">
        <f>IF($A158="","",H158-G158)</f>
        <v/>
      </c>
      <c r="J158" s="26">
        <f>IF($A158="","",SUMIF(COMPRAS!$B:$B,$A158,COMPRAS!$L:$L))</f>
        <v/>
      </c>
      <c r="K158" s="26">
        <f>IF($A158="","",SUMIF(VENDAS!$B:$B,$A158,VENDAS!$K:$K))</f>
        <v/>
      </c>
      <c r="L158" s="21">
        <f>IF($A158="","",IF(F158&gt;=E158,"FECHADO","ABERTO"))</f>
        <v/>
      </c>
      <c r="M158" s="26">
        <f>IF($A158="","",K158-J158)</f>
        <v/>
      </c>
    </row>
    <row r="159">
      <c r="A159" s="14" t="n"/>
      <c r="B159" s="13">
        <f>IF(OR($A159="",COUNTIF(COMPRAS!$B:$B,$A159)=0),"",MINIFS(COMPRAS!$A:$A,COMPRAS!$B:$B,$A159))</f>
        <v/>
      </c>
      <c r="C159" s="13">
        <f>IF(OR($A159="",COUNTIF(VENDAS!$B:$B,$A159)=0),"",MAXIFS(VENDAS!$A:$A,VENDAS!$B:$B,$A159))</f>
        <v/>
      </c>
      <c r="D159" s="15">
        <f>IF(OR($A159="",B159=""),"",IF(C159="",TODAY()-B159,C159-B159))</f>
        <v/>
      </c>
      <c r="E159" s="15">
        <f>IF($A159="","",SUMIF(COMPRAS!$B:$B,$A159,COMPRAS!$E:$E))</f>
        <v/>
      </c>
      <c r="F159" s="15">
        <f>IF($A159="","",SUMIF(VENDAS!$B:$B,$A159,VENDAS!$D:$D))</f>
        <v/>
      </c>
      <c r="G159" s="16">
        <f>IF($A159="","",SUMIF(COMPRAS!$B:$B,$A159,COMPRAS!$F:$F))</f>
        <v/>
      </c>
      <c r="H159" s="16">
        <f>IF($A159="","",SUMIF(VENDAS!$B:$B,$A159,VENDAS!$E:$E))</f>
        <v/>
      </c>
      <c r="I159" s="16">
        <f>IF($A159="","",H159-G159)</f>
        <v/>
      </c>
      <c r="J159" s="19">
        <f>IF($A159="","",SUMIF(COMPRAS!$B:$B,$A159,COMPRAS!$L:$L))</f>
        <v/>
      </c>
      <c r="K159" s="19">
        <f>IF($A159="","",SUMIF(VENDAS!$B:$B,$A159,VENDAS!$K:$K))</f>
        <v/>
      </c>
      <c r="L159" s="14">
        <f>IF($A159="","",IF(F159&gt;=E159,"FECHADO","ABERTO"))</f>
        <v/>
      </c>
      <c r="M159" s="19">
        <f>IF($A159="","",K159-J159)</f>
        <v/>
      </c>
    </row>
    <row r="160">
      <c r="A160" s="21" t="n"/>
      <c r="B160" s="20">
        <f>IF(OR($A160="",COUNTIF(COMPRAS!$B:$B,$A160)=0),"",MINIFS(COMPRAS!$A:$A,COMPRAS!$B:$B,$A160))</f>
        <v/>
      </c>
      <c r="C160" s="20">
        <f>IF(OR($A160="",COUNTIF(VENDAS!$B:$B,$A160)=0),"",MAXIFS(VENDAS!$A:$A,VENDAS!$B:$B,$A160))</f>
        <v/>
      </c>
      <c r="D160" s="22">
        <f>IF(OR($A160="",B160=""),"",IF(C160="",TODAY()-B160,C160-B160))</f>
        <v/>
      </c>
      <c r="E160" s="22">
        <f>IF($A160="","",SUMIF(COMPRAS!$B:$B,$A160,COMPRAS!$E:$E))</f>
        <v/>
      </c>
      <c r="F160" s="22">
        <f>IF($A160="","",SUMIF(VENDAS!$B:$B,$A160,VENDAS!$D:$D))</f>
        <v/>
      </c>
      <c r="G160" s="23">
        <f>IF($A160="","",SUMIF(COMPRAS!$B:$B,$A160,COMPRAS!$F:$F))</f>
        <v/>
      </c>
      <c r="H160" s="23">
        <f>IF($A160="","",SUMIF(VENDAS!$B:$B,$A160,VENDAS!$E:$E))</f>
        <v/>
      </c>
      <c r="I160" s="23">
        <f>IF($A160="","",H160-G160)</f>
        <v/>
      </c>
      <c r="J160" s="26">
        <f>IF($A160="","",SUMIF(COMPRAS!$B:$B,$A160,COMPRAS!$L:$L))</f>
        <v/>
      </c>
      <c r="K160" s="26">
        <f>IF($A160="","",SUMIF(VENDAS!$B:$B,$A160,VENDAS!$K:$K))</f>
        <v/>
      </c>
      <c r="L160" s="21">
        <f>IF($A160="","",IF(F160&gt;=E160,"FECHADO","ABERTO"))</f>
        <v/>
      </c>
      <c r="M160" s="26">
        <f>IF($A160="","",K160-J160)</f>
        <v/>
      </c>
    </row>
    <row r="161">
      <c r="A161" s="14" t="n"/>
      <c r="B161" s="13">
        <f>IF(OR($A161="",COUNTIF(COMPRAS!$B:$B,$A161)=0),"",MINIFS(COMPRAS!$A:$A,COMPRAS!$B:$B,$A161))</f>
        <v/>
      </c>
      <c r="C161" s="13">
        <f>IF(OR($A161="",COUNTIF(VENDAS!$B:$B,$A161)=0),"",MAXIFS(VENDAS!$A:$A,VENDAS!$B:$B,$A161))</f>
        <v/>
      </c>
      <c r="D161" s="15">
        <f>IF(OR($A161="",B161=""),"",IF(C161="",TODAY()-B161,C161-B161))</f>
        <v/>
      </c>
      <c r="E161" s="15">
        <f>IF($A161="","",SUMIF(COMPRAS!$B:$B,$A161,COMPRAS!$E:$E))</f>
        <v/>
      </c>
      <c r="F161" s="15">
        <f>IF($A161="","",SUMIF(VENDAS!$B:$B,$A161,VENDAS!$D:$D))</f>
        <v/>
      </c>
      <c r="G161" s="16">
        <f>IF($A161="","",SUMIF(COMPRAS!$B:$B,$A161,COMPRAS!$F:$F))</f>
        <v/>
      </c>
      <c r="H161" s="16">
        <f>IF($A161="","",SUMIF(VENDAS!$B:$B,$A161,VENDAS!$E:$E))</f>
        <v/>
      </c>
      <c r="I161" s="16">
        <f>IF($A161="","",H161-G161)</f>
        <v/>
      </c>
      <c r="J161" s="19">
        <f>IF($A161="","",SUMIF(COMPRAS!$B:$B,$A161,COMPRAS!$L:$L))</f>
        <v/>
      </c>
      <c r="K161" s="19">
        <f>IF($A161="","",SUMIF(VENDAS!$B:$B,$A161,VENDAS!$K:$K))</f>
        <v/>
      </c>
      <c r="L161" s="14">
        <f>IF($A161="","",IF(F161&gt;=E161,"FECHADO","ABERTO"))</f>
        <v/>
      </c>
      <c r="M161" s="19">
        <f>IF($A161="","",K161-J161)</f>
        <v/>
      </c>
    </row>
    <row r="162">
      <c r="A162" s="21" t="n"/>
      <c r="B162" s="20">
        <f>IF(OR($A162="",COUNTIF(COMPRAS!$B:$B,$A162)=0),"",MINIFS(COMPRAS!$A:$A,COMPRAS!$B:$B,$A162))</f>
        <v/>
      </c>
      <c r="C162" s="20">
        <f>IF(OR($A162="",COUNTIF(VENDAS!$B:$B,$A162)=0),"",MAXIFS(VENDAS!$A:$A,VENDAS!$B:$B,$A162))</f>
        <v/>
      </c>
      <c r="D162" s="22">
        <f>IF(OR($A162="",B162=""),"",IF(C162="",TODAY()-B162,C162-B162))</f>
        <v/>
      </c>
      <c r="E162" s="22">
        <f>IF($A162="","",SUMIF(COMPRAS!$B:$B,$A162,COMPRAS!$E:$E))</f>
        <v/>
      </c>
      <c r="F162" s="22">
        <f>IF($A162="","",SUMIF(VENDAS!$B:$B,$A162,VENDAS!$D:$D))</f>
        <v/>
      </c>
      <c r="G162" s="23">
        <f>IF($A162="","",SUMIF(COMPRAS!$B:$B,$A162,COMPRAS!$F:$F))</f>
        <v/>
      </c>
      <c r="H162" s="23">
        <f>IF($A162="","",SUMIF(VENDAS!$B:$B,$A162,VENDAS!$E:$E))</f>
        <v/>
      </c>
      <c r="I162" s="23">
        <f>IF($A162="","",H162-G162)</f>
        <v/>
      </c>
      <c r="J162" s="26">
        <f>IF($A162="","",SUMIF(COMPRAS!$B:$B,$A162,COMPRAS!$L:$L))</f>
        <v/>
      </c>
      <c r="K162" s="26">
        <f>IF($A162="","",SUMIF(VENDAS!$B:$B,$A162,VENDAS!$K:$K))</f>
        <v/>
      </c>
      <c r="L162" s="21">
        <f>IF($A162="","",IF(F162&gt;=E162,"FECHADO","ABERTO"))</f>
        <v/>
      </c>
      <c r="M162" s="26">
        <f>IF($A162="","",K162-J162)</f>
        <v/>
      </c>
    </row>
    <row r="163">
      <c r="A163" s="14" t="n"/>
      <c r="B163" s="13">
        <f>IF(OR($A163="",COUNTIF(COMPRAS!$B:$B,$A163)=0),"",MINIFS(COMPRAS!$A:$A,COMPRAS!$B:$B,$A163))</f>
        <v/>
      </c>
      <c r="C163" s="13">
        <f>IF(OR($A163="",COUNTIF(VENDAS!$B:$B,$A163)=0),"",MAXIFS(VENDAS!$A:$A,VENDAS!$B:$B,$A163))</f>
        <v/>
      </c>
      <c r="D163" s="15">
        <f>IF(OR($A163="",B163=""),"",IF(C163="",TODAY()-B163,C163-B163))</f>
        <v/>
      </c>
      <c r="E163" s="15">
        <f>IF($A163="","",SUMIF(COMPRAS!$B:$B,$A163,COMPRAS!$E:$E))</f>
        <v/>
      </c>
      <c r="F163" s="15">
        <f>IF($A163="","",SUMIF(VENDAS!$B:$B,$A163,VENDAS!$D:$D))</f>
        <v/>
      </c>
      <c r="G163" s="16">
        <f>IF($A163="","",SUMIF(COMPRAS!$B:$B,$A163,COMPRAS!$F:$F))</f>
        <v/>
      </c>
      <c r="H163" s="16">
        <f>IF($A163="","",SUMIF(VENDAS!$B:$B,$A163,VENDAS!$E:$E))</f>
        <v/>
      </c>
      <c r="I163" s="16">
        <f>IF($A163="","",H163-G163)</f>
        <v/>
      </c>
      <c r="J163" s="19">
        <f>IF($A163="","",SUMIF(COMPRAS!$B:$B,$A163,COMPRAS!$L:$L))</f>
        <v/>
      </c>
      <c r="K163" s="19">
        <f>IF($A163="","",SUMIF(VENDAS!$B:$B,$A163,VENDAS!$K:$K))</f>
        <v/>
      </c>
      <c r="L163" s="14">
        <f>IF($A163="","",IF(F163&gt;=E163,"FECHADO","ABERTO"))</f>
        <v/>
      </c>
      <c r="M163" s="19">
        <f>IF($A163="","",K163-J163)</f>
        <v/>
      </c>
    </row>
    <row r="164">
      <c r="A164" s="21" t="n"/>
      <c r="B164" s="20">
        <f>IF(OR($A164="",COUNTIF(COMPRAS!$B:$B,$A164)=0),"",MINIFS(COMPRAS!$A:$A,COMPRAS!$B:$B,$A164))</f>
        <v/>
      </c>
      <c r="C164" s="20">
        <f>IF(OR($A164="",COUNTIF(VENDAS!$B:$B,$A164)=0),"",MAXIFS(VENDAS!$A:$A,VENDAS!$B:$B,$A164))</f>
        <v/>
      </c>
      <c r="D164" s="22">
        <f>IF(OR($A164="",B164=""),"",IF(C164="",TODAY()-B164,C164-B164))</f>
        <v/>
      </c>
      <c r="E164" s="22">
        <f>IF($A164="","",SUMIF(COMPRAS!$B:$B,$A164,COMPRAS!$E:$E))</f>
        <v/>
      </c>
      <c r="F164" s="22">
        <f>IF($A164="","",SUMIF(VENDAS!$B:$B,$A164,VENDAS!$D:$D))</f>
        <v/>
      </c>
      <c r="G164" s="23">
        <f>IF($A164="","",SUMIF(COMPRAS!$B:$B,$A164,COMPRAS!$F:$F))</f>
        <v/>
      </c>
      <c r="H164" s="23">
        <f>IF($A164="","",SUMIF(VENDAS!$B:$B,$A164,VENDAS!$E:$E))</f>
        <v/>
      </c>
      <c r="I164" s="23">
        <f>IF($A164="","",H164-G164)</f>
        <v/>
      </c>
      <c r="J164" s="26">
        <f>IF($A164="","",SUMIF(COMPRAS!$B:$B,$A164,COMPRAS!$L:$L))</f>
        <v/>
      </c>
      <c r="K164" s="26">
        <f>IF($A164="","",SUMIF(VENDAS!$B:$B,$A164,VENDAS!$K:$K))</f>
        <v/>
      </c>
      <c r="L164" s="21">
        <f>IF($A164="","",IF(F164&gt;=E164,"FECHADO","ABERTO"))</f>
        <v/>
      </c>
      <c r="M164" s="26">
        <f>IF($A164="","",K164-J164)</f>
        <v/>
      </c>
    </row>
    <row r="165">
      <c r="A165" s="14" t="n"/>
      <c r="B165" s="13">
        <f>IF(OR($A165="",COUNTIF(COMPRAS!$B:$B,$A165)=0),"",MINIFS(COMPRAS!$A:$A,COMPRAS!$B:$B,$A165))</f>
        <v/>
      </c>
      <c r="C165" s="13">
        <f>IF(OR($A165="",COUNTIF(VENDAS!$B:$B,$A165)=0),"",MAXIFS(VENDAS!$A:$A,VENDAS!$B:$B,$A165))</f>
        <v/>
      </c>
      <c r="D165" s="15">
        <f>IF(OR($A165="",B165=""),"",IF(C165="",TODAY()-B165,C165-B165))</f>
        <v/>
      </c>
      <c r="E165" s="15">
        <f>IF($A165="","",SUMIF(COMPRAS!$B:$B,$A165,COMPRAS!$E:$E))</f>
        <v/>
      </c>
      <c r="F165" s="15">
        <f>IF($A165="","",SUMIF(VENDAS!$B:$B,$A165,VENDAS!$D:$D))</f>
        <v/>
      </c>
      <c r="G165" s="16">
        <f>IF($A165="","",SUMIF(COMPRAS!$B:$B,$A165,COMPRAS!$F:$F))</f>
        <v/>
      </c>
      <c r="H165" s="16">
        <f>IF($A165="","",SUMIF(VENDAS!$B:$B,$A165,VENDAS!$E:$E))</f>
        <v/>
      </c>
      <c r="I165" s="16">
        <f>IF($A165="","",H165-G165)</f>
        <v/>
      </c>
      <c r="J165" s="19">
        <f>IF($A165="","",SUMIF(COMPRAS!$B:$B,$A165,COMPRAS!$L:$L))</f>
        <v/>
      </c>
      <c r="K165" s="19">
        <f>IF($A165="","",SUMIF(VENDAS!$B:$B,$A165,VENDAS!$K:$K))</f>
        <v/>
      </c>
      <c r="L165" s="14">
        <f>IF($A165="","",IF(F165&gt;=E165,"FECHADO","ABERTO"))</f>
        <v/>
      </c>
      <c r="M165" s="19">
        <f>IF($A165="","",K165-J165)</f>
        <v/>
      </c>
    </row>
    <row r="166">
      <c r="A166" s="21" t="n"/>
      <c r="B166" s="20">
        <f>IF(OR($A166="",COUNTIF(COMPRAS!$B:$B,$A166)=0),"",MINIFS(COMPRAS!$A:$A,COMPRAS!$B:$B,$A166))</f>
        <v/>
      </c>
      <c r="C166" s="20">
        <f>IF(OR($A166="",COUNTIF(VENDAS!$B:$B,$A166)=0),"",MAXIFS(VENDAS!$A:$A,VENDAS!$B:$B,$A166))</f>
        <v/>
      </c>
      <c r="D166" s="22">
        <f>IF(OR($A166="",B166=""),"",IF(C166="",TODAY()-B166,C166-B166))</f>
        <v/>
      </c>
      <c r="E166" s="22">
        <f>IF($A166="","",SUMIF(COMPRAS!$B:$B,$A166,COMPRAS!$E:$E))</f>
        <v/>
      </c>
      <c r="F166" s="22">
        <f>IF($A166="","",SUMIF(VENDAS!$B:$B,$A166,VENDAS!$D:$D))</f>
        <v/>
      </c>
      <c r="G166" s="23">
        <f>IF($A166="","",SUMIF(COMPRAS!$B:$B,$A166,COMPRAS!$F:$F))</f>
        <v/>
      </c>
      <c r="H166" s="23">
        <f>IF($A166="","",SUMIF(VENDAS!$B:$B,$A166,VENDAS!$E:$E))</f>
        <v/>
      </c>
      <c r="I166" s="23">
        <f>IF($A166="","",H166-G166)</f>
        <v/>
      </c>
      <c r="J166" s="26">
        <f>IF($A166="","",SUMIF(COMPRAS!$B:$B,$A166,COMPRAS!$L:$L))</f>
        <v/>
      </c>
      <c r="K166" s="26">
        <f>IF($A166="","",SUMIF(VENDAS!$B:$B,$A166,VENDAS!$K:$K))</f>
        <v/>
      </c>
      <c r="L166" s="21">
        <f>IF($A166="","",IF(F166&gt;=E166,"FECHADO","ABERTO"))</f>
        <v/>
      </c>
      <c r="M166" s="26">
        <f>IF($A166="","",K166-J166)</f>
        <v/>
      </c>
    </row>
    <row r="167">
      <c r="A167" s="14" t="n"/>
      <c r="B167" s="13">
        <f>IF(OR($A167="",COUNTIF(COMPRAS!$B:$B,$A167)=0),"",MINIFS(COMPRAS!$A:$A,COMPRAS!$B:$B,$A167))</f>
        <v/>
      </c>
      <c r="C167" s="13">
        <f>IF(OR($A167="",COUNTIF(VENDAS!$B:$B,$A167)=0),"",MAXIFS(VENDAS!$A:$A,VENDAS!$B:$B,$A167))</f>
        <v/>
      </c>
      <c r="D167" s="15">
        <f>IF(OR($A167="",B167=""),"",IF(C167="",TODAY()-B167,C167-B167))</f>
        <v/>
      </c>
      <c r="E167" s="15">
        <f>IF($A167="","",SUMIF(COMPRAS!$B:$B,$A167,COMPRAS!$E:$E))</f>
        <v/>
      </c>
      <c r="F167" s="15">
        <f>IF($A167="","",SUMIF(VENDAS!$B:$B,$A167,VENDAS!$D:$D))</f>
        <v/>
      </c>
      <c r="G167" s="16">
        <f>IF($A167="","",SUMIF(COMPRAS!$B:$B,$A167,COMPRAS!$F:$F))</f>
        <v/>
      </c>
      <c r="H167" s="16">
        <f>IF($A167="","",SUMIF(VENDAS!$B:$B,$A167,VENDAS!$E:$E))</f>
        <v/>
      </c>
      <c r="I167" s="16">
        <f>IF($A167="","",H167-G167)</f>
        <v/>
      </c>
      <c r="J167" s="19">
        <f>IF($A167="","",SUMIF(COMPRAS!$B:$B,$A167,COMPRAS!$L:$L))</f>
        <v/>
      </c>
      <c r="K167" s="19">
        <f>IF($A167="","",SUMIF(VENDAS!$B:$B,$A167,VENDAS!$K:$K))</f>
        <v/>
      </c>
      <c r="L167" s="14">
        <f>IF($A167="","",IF(F167&gt;=E167,"FECHADO","ABERTO"))</f>
        <v/>
      </c>
      <c r="M167" s="19">
        <f>IF($A167="","",K167-J167)</f>
        <v/>
      </c>
    </row>
    <row r="168">
      <c r="A168" s="21" t="n"/>
      <c r="B168" s="20">
        <f>IF(OR($A168="",COUNTIF(COMPRAS!$B:$B,$A168)=0),"",MINIFS(COMPRAS!$A:$A,COMPRAS!$B:$B,$A168))</f>
        <v/>
      </c>
      <c r="C168" s="20">
        <f>IF(OR($A168="",COUNTIF(VENDAS!$B:$B,$A168)=0),"",MAXIFS(VENDAS!$A:$A,VENDAS!$B:$B,$A168))</f>
        <v/>
      </c>
      <c r="D168" s="22">
        <f>IF(OR($A168="",B168=""),"",IF(C168="",TODAY()-B168,C168-B168))</f>
        <v/>
      </c>
      <c r="E168" s="22">
        <f>IF($A168="","",SUMIF(COMPRAS!$B:$B,$A168,COMPRAS!$E:$E))</f>
        <v/>
      </c>
      <c r="F168" s="22">
        <f>IF($A168="","",SUMIF(VENDAS!$B:$B,$A168,VENDAS!$D:$D))</f>
        <v/>
      </c>
      <c r="G168" s="23">
        <f>IF($A168="","",SUMIF(COMPRAS!$B:$B,$A168,COMPRAS!$F:$F))</f>
        <v/>
      </c>
      <c r="H168" s="23">
        <f>IF($A168="","",SUMIF(VENDAS!$B:$B,$A168,VENDAS!$E:$E))</f>
        <v/>
      </c>
      <c r="I168" s="23">
        <f>IF($A168="","",H168-G168)</f>
        <v/>
      </c>
      <c r="J168" s="26">
        <f>IF($A168="","",SUMIF(COMPRAS!$B:$B,$A168,COMPRAS!$L:$L))</f>
        <v/>
      </c>
      <c r="K168" s="26">
        <f>IF($A168="","",SUMIF(VENDAS!$B:$B,$A168,VENDAS!$K:$K))</f>
        <v/>
      </c>
      <c r="L168" s="21">
        <f>IF($A168="","",IF(F168&gt;=E168,"FECHADO","ABERTO"))</f>
        <v/>
      </c>
      <c r="M168" s="26">
        <f>IF($A168="","",K168-J168)</f>
        <v/>
      </c>
    </row>
    <row r="169">
      <c r="A169" s="14" t="n"/>
      <c r="B169" s="13">
        <f>IF(OR($A169="",COUNTIF(COMPRAS!$B:$B,$A169)=0),"",MINIFS(COMPRAS!$A:$A,COMPRAS!$B:$B,$A169))</f>
        <v/>
      </c>
      <c r="C169" s="13">
        <f>IF(OR($A169="",COUNTIF(VENDAS!$B:$B,$A169)=0),"",MAXIFS(VENDAS!$A:$A,VENDAS!$B:$B,$A169))</f>
        <v/>
      </c>
      <c r="D169" s="15">
        <f>IF(OR($A169="",B169=""),"",IF(C169="",TODAY()-B169,C169-B169))</f>
        <v/>
      </c>
      <c r="E169" s="15">
        <f>IF($A169="","",SUMIF(COMPRAS!$B:$B,$A169,COMPRAS!$E:$E))</f>
        <v/>
      </c>
      <c r="F169" s="15">
        <f>IF($A169="","",SUMIF(VENDAS!$B:$B,$A169,VENDAS!$D:$D))</f>
        <v/>
      </c>
      <c r="G169" s="16">
        <f>IF($A169="","",SUMIF(COMPRAS!$B:$B,$A169,COMPRAS!$F:$F))</f>
        <v/>
      </c>
      <c r="H169" s="16">
        <f>IF($A169="","",SUMIF(VENDAS!$B:$B,$A169,VENDAS!$E:$E))</f>
        <v/>
      </c>
      <c r="I169" s="16">
        <f>IF($A169="","",H169-G169)</f>
        <v/>
      </c>
      <c r="J169" s="19">
        <f>IF($A169="","",SUMIF(COMPRAS!$B:$B,$A169,COMPRAS!$L:$L))</f>
        <v/>
      </c>
      <c r="K169" s="19">
        <f>IF($A169="","",SUMIF(VENDAS!$B:$B,$A169,VENDAS!$K:$K))</f>
        <v/>
      </c>
      <c r="L169" s="14">
        <f>IF($A169="","",IF(F169&gt;=E169,"FECHADO","ABERTO"))</f>
        <v/>
      </c>
      <c r="M169" s="19">
        <f>IF($A169="","",K169-J169)</f>
        <v/>
      </c>
    </row>
    <row r="170">
      <c r="A170" s="21" t="n"/>
      <c r="B170" s="20">
        <f>IF(OR($A170="",COUNTIF(COMPRAS!$B:$B,$A170)=0),"",MINIFS(COMPRAS!$A:$A,COMPRAS!$B:$B,$A170))</f>
        <v/>
      </c>
      <c r="C170" s="20">
        <f>IF(OR($A170="",COUNTIF(VENDAS!$B:$B,$A170)=0),"",MAXIFS(VENDAS!$A:$A,VENDAS!$B:$B,$A170))</f>
        <v/>
      </c>
      <c r="D170" s="22">
        <f>IF(OR($A170="",B170=""),"",IF(C170="",TODAY()-B170,C170-B170))</f>
        <v/>
      </c>
      <c r="E170" s="22">
        <f>IF($A170="","",SUMIF(COMPRAS!$B:$B,$A170,COMPRAS!$E:$E))</f>
        <v/>
      </c>
      <c r="F170" s="22">
        <f>IF($A170="","",SUMIF(VENDAS!$B:$B,$A170,VENDAS!$D:$D))</f>
        <v/>
      </c>
      <c r="G170" s="23">
        <f>IF($A170="","",SUMIF(COMPRAS!$B:$B,$A170,COMPRAS!$F:$F))</f>
        <v/>
      </c>
      <c r="H170" s="23">
        <f>IF($A170="","",SUMIF(VENDAS!$B:$B,$A170,VENDAS!$E:$E))</f>
        <v/>
      </c>
      <c r="I170" s="23">
        <f>IF($A170="","",H170-G170)</f>
        <v/>
      </c>
      <c r="J170" s="26">
        <f>IF($A170="","",SUMIF(COMPRAS!$B:$B,$A170,COMPRAS!$L:$L))</f>
        <v/>
      </c>
      <c r="K170" s="26">
        <f>IF($A170="","",SUMIF(VENDAS!$B:$B,$A170,VENDAS!$K:$K))</f>
        <v/>
      </c>
      <c r="L170" s="21">
        <f>IF($A170="","",IF(F170&gt;=E170,"FECHADO","ABERTO"))</f>
        <v/>
      </c>
      <c r="M170" s="26">
        <f>IF($A170="","",K170-J170)</f>
        <v/>
      </c>
    </row>
    <row r="171">
      <c r="A171" s="14" t="n"/>
      <c r="B171" s="13">
        <f>IF(OR($A171="",COUNTIF(COMPRAS!$B:$B,$A171)=0),"",MINIFS(COMPRAS!$A:$A,COMPRAS!$B:$B,$A171))</f>
        <v/>
      </c>
      <c r="C171" s="13">
        <f>IF(OR($A171="",COUNTIF(VENDAS!$B:$B,$A171)=0),"",MAXIFS(VENDAS!$A:$A,VENDAS!$B:$B,$A171))</f>
        <v/>
      </c>
      <c r="D171" s="15">
        <f>IF(OR($A171="",B171=""),"",IF(C171="",TODAY()-B171,C171-B171))</f>
        <v/>
      </c>
      <c r="E171" s="15">
        <f>IF($A171="","",SUMIF(COMPRAS!$B:$B,$A171,COMPRAS!$E:$E))</f>
        <v/>
      </c>
      <c r="F171" s="15">
        <f>IF($A171="","",SUMIF(VENDAS!$B:$B,$A171,VENDAS!$D:$D))</f>
        <v/>
      </c>
      <c r="G171" s="16">
        <f>IF($A171="","",SUMIF(COMPRAS!$B:$B,$A171,COMPRAS!$F:$F))</f>
        <v/>
      </c>
      <c r="H171" s="16">
        <f>IF($A171="","",SUMIF(VENDAS!$B:$B,$A171,VENDAS!$E:$E))</f>
        <v/>
      </c>
      <c r="I171" s="16">
        <f>IF($A171="","",H171-G171)</f>
        <v/>
      </c>
      <c r="J171" s="19">
        <f>IF($A171="","",SUMIF(COMPRAS!$B:$B,$A171,COMPRAS!$L:$L))</f>
        <v/>
      </c>
      <c r="K171" s="19">
        <f>IF($A171="","",SUMIF(VENDAS!$B:$B,$A171,VENDAS!$K:$K))</f>
        <v/>
      </c>
      <c r="L171" s="14">
        <f>IF($A171="","",IF(F171&gt;=E171,"FECHADO","ABERTO"))</f>
        <v/>
      </c>
      <c r="M171" s="19">
        <f>IF($A171="","",K171-J171)</f>
        <v/>
      </c>
    </row>
    <row r="172">
      <c r="A172" s="21" t="n"/>
      <c r="B172" s="20">
        <f>IF(OR($A172="",COUNTIF(COMPRAS!$B:$B,$A172)=0),"",MINIFS(COMPRAS!$A:$A,COMPRAS!$B:$B,$A172))</f>
        <v/>
      </c>
      <c r="C172" s="20">
        <f>IF(OR($A172="",COUNTIF(VENDAS!$B:$B,$A172)=0),"",MAXIFS(VENDAS!$A:$A,VENDAS!$B:$B,$A172))</f>
        <v/>
      </c>
      <c r="D172" s="22">
        <f>IF(OR($A172="",B172=""),"",IF(C172="",TODAY()-B172,C172-B172))</f>
        <v/>
      </c>
      <c r="E172" s="22">
        <f>IF($A172="","",SUMIF(COMPRAS!$B:$B,$A172,COMPRAS!$E:$E))</f>
        <v/>
      </c>
      <c r="F172" s="22">
        <f>IF($A172="","",SUMIF(VENDAS!$B:$B,$A172,VENDAS!$D:$D))</f>
        <v/>
      </c>
      <c r="G172" s="23">
        <f>IF($A172="","",SUMIF(COMPRAS!$B:$B,$A172,COMPRAS!$F:$F))</f>
        <v/>
      </c>
      <c r="H172" s="23">
        <f>IF($A172="","",SUMIF(VENDAS!$B:$B,$A172,VENDAS!$E:$E))</f>
        <v/>
      </c>
      <c r="I172" s="23">
        <f>IF($A172="","",H172-G172)</f>
        <v/>
      </c>
      <c r="J172" s="26">
        <f>IF($A172="","",SUMIF(COMPRAS!$B:$B,$A172,COMPRAS!$L:$L))</f>
        <v/>
      </c>
      <c r="K172" s="26">
        <f>IF($A172="","",SUMIF(VENDAS!$B:$B,$A172,VENDAS!$K:$K))</f>
        <v/>
      </c>
      <c r="L172" s="21">
        <f>IF($A172="","",IF(F172&gt;=E172,"FECHADO","ABERTO"))</f>
        <v/>
      </c>
      <c r="M172" s="26">
        <f>IF($A172="","",K172-J172)</f>
        <v/>
      </c>
    </row>
    <row r="173">
      <c r="A173" s="14" t="n"/>
      <c r="B173" s="13">
        <f>IF(OR($A173="",COUNTIF(COMPRAS!$B:$B,$A173)=0),"",MINIFS(COMPRAS!$A:$A,COMPRAS!$B:$B,$A173))</f>
        <v/>
      </c>
      <c r="C173" s="13">
        <f>IF(OR($A173="",COUNTIF(VENDAS!$B:$B,$A173)=0),"",MAXIFS(VENDAS!$A:$A,VENDAS!$B:$B,$A173))</f>
        <v/>
      </c>
      <c r="D173" s="15">
        <f>IF(OR($A173="",B173=""),"",IF(C173="",TODAY()-B173,C173-B173))</f>
        <v/>
      </c>
      <c r="E173" s="15">
        <f>IF($A173="","",SUMIF(COMPRAS!$B:$B,$A173,COMPRAS!$E:$E))</f>
        <v/>
      </c>
      <c r="F173" s="15">
        <f>IF($A173="","",SUMIF(VENDAS!$B:$B,$A173,VENDAS!$D:$D))</f>
        <v/>
      </c>
      <c r="G173" s="16">
        <f>IF($A173="","",SUMIF(COMPRAS!$B:$B,$A173,COMPRAS!$F:$F))</f>
        <v/>
      </c>
      <c r="H173" s="16">
        <f>IF($A173="","",SUMIF(VENDAS!$B:$B,$A173,VENDAS!$E:$E))</f>
        <v/>
      </c>
      <c r="I173" s="16">
        <f>IF($A173="","",H173-G173)</f>
        <v/>
      </c>
      <c r="J173" s="19">
        <f>IF($A173="","",SUMIF(COMPRAS!$B:$B,$A173,COMPRAS!$L:$L))</f>
        <v/>
      </c>
      <c r="K173" s="19">
        <f>IF($A173="","",SUMIF(VENDAS!$B:$B,$A173,VENDAS!$K:$K))</f>
        <v/>
      </c>
      <c r="L173" s="14">
        <f>IF($A173="","",IF(F173&gt;=E173,"FECHADO","ABERTO"))</f>
        <v/>
      </c>
      <c r="M173" s="19">
        <f>IF($A173="","",K173-J173)</f>
        <v/>
      </c>
    </row>
    <row r="174">
      <c r="A174" s="21" t="n"/>
      <c r="B174" s="20">
        <f>IF(OR($A174="",COUNTIF(COMPRAS!$B:$B,$A174)=0),"",MINIFS(COMPRAS!$A:$A,COMPRAS!$B:$B,$A174))</f>
        <v/>
      </c>
      <c r="C174" s="20">
        <f>IF(OR($A174="",COUNTIF(VENDAS!$B:$B,$A174)=0),"",MAXIFS(VENDAS!$A:$A,VENDAS!$B:$B,$A174))</f>
        <v/>
      </c>
      <c r="D174" s="22">
        <f>IF(OR($A174="",B174=""),"",IF(C174="",TODAY()-B174,C174-B174))</f>
        <v/>
      </c>
      <c r="E174" s="22">
        <f>IF($A174="","",SUMIF(COMPRAS!$B:$B,$A174,COMPRAS!$E:$E))</f>
        <v/>
      </c>
      <c r="F174" s="22">
        <f>IF($A174="","",SUMIF(VENDAS!$B:$B,$A174,VENDAS!$D:$D))</f>
        <v/>
      </c>
      <c r="G174" s="23">
        <f>IF($A174="","",SUMIF(COMPRAS!$B:$B,$A174,COMPRAS!$F:$F))</f>
        <v/>
      </c>
      <c r="H174" s="23">
        <f>IF($A174="","",SUMIF(VENDAS!$B:$B,$A174,VENDAS!$E:$E))</f>
        <v/>
      </c>
      <c r="I174" s="23">
        <f>IF($A174="","",H174-G174)</f>
        <v/>
      </c>
      <c r="J174" s="26">
        <f>IF($A174="","",SUMIF(COMPRAS!$B:$B,$A174,COMPRAS!$L:$L))</f>
        <v/>
      </c>
      <c r="K174" s="26">
        <f>IF($A174="","",SUMIF(VENDAS!$B:$B,$A174,VENDAS!$K:$K))</f>
        <v/>
      </c>
      <c r="L174" s="21">
        <f>IF($A174="","",IF(F174&gt;=E174,"FECHADO","ABERTO"))</f>
        <v/>
      </c>
      <c r="M174" s="26">
        <f>IF($A174="","",K174-J174)</f>
        <v/>
      </c>
    </row>
    <row r="175">
      <c r="A175" s="14" t="n"/>
      <c r="B175" s="13">
        <f>IF(OR($A175="",COUNTIF(COMPRAS!$B:$B,$A175)=0),"",MINIFS(COMPRAS!$A:$A,COMPRAS!$B:$B,$A175))</f>
        <v/>
      </c>
      <c r="C175" s="13">
        <f>IF(OR($A175="",COUNTIF(VENDAS!$B:$B,$A175)=0),"",MAXIFS(VENDAS!$A:$A,VENDAS!$B:$B,$A175))</f>
        <v/>
      </c>
      <c r="D175" s="15">
        <f>IF(OR($A175="",B175=""),"",IF(C175="",TODAY()-B175,C175-B175))</f>
        <v/>
      </c>
      <c r="E175" s="15">
        <f>IF($A175="","",SUMIF(COMPRAS!$B:$B,$A175,COMPRAS!$E:$E))</f>
        <v/>
      </c>
      <c r="F175" s="15">
        <f>IF($A175="","",SUMIF(VENDAS!$B:$B,$A175,VENDAS!$D:$D))</f>
        <v/>
      </c>
      <c r="G175" s="16">
        <f>IF($A175="","",SUMIF(COMPRAS!$B:$B,$A175,COMPRAS!$F:$F))</f>
        <v/>
      </c>
      <c r="H175" s="16">
        <f>IF($A175="","",SUMIF(VENDAS!$B:$B,$A175,VENDAS!$E:$E))</f>
        <v/>
      </c>
      <c r="I175" s="16">
        <f>IF($A175="","",H175-G175)</f>
        <v/>
      </c>
      <c r="J175" s="19">
        <f>IF($A175="","",SUMIF(COMPRAS!$B:$B,$A175,COMPRAS!$L:$L))</f>
        <v/>
      </c>
      <c r="K175" s="19">
        <f>IF($A175="","",SUMIF(VENDAS!$B:$B,$A175,VENDAS!$K:$K))</f>
        <v/>
      </c>
      <c r="L175" s="14">
        <f>IF($A175="","",IF(F175&gt;=E175,"FECHADO","ABERTO"))</f>
        <v/>
      </c>
      <c r="M175" s="19">
        <f>IF($A175="","",K175-J175)</f>
        <v/>
      </c>
    </row>
    <row r="176">
      <c r="A176" s="21" t="n"/>
      <c r="B176" s="20">
        <f>IF(OR($A176="",COUNTIF(COMPRAS!$B:$B,$A176)=0),"",MINIFS(COMPRAS!$A:$A,COMPRAS!$B:$B,$A176))</f>
        <v/>
      </c>
      <c r="C176" s="20">
        <f>IF(OR($A176="",COUNTIF(VENDAS!$B:$B,$A176)=0),"",MAXIFS(VENDAS!$A:$A,VENDAS!$B:$B,$A176))</f>
        <v/>
      </c>
      <c r="D176" s="22">
        <f>IF(OR($A176="",B176=""),"",IF(C176="",TODAY()-B176,C176-B176))</f>
        <v/>
      </c>
      <c r="E176" s="22">
        <f>IF($A176="","",SUMIF(COMPRAS!$B:$B,$A176,COMPRAS!$E:$E))</f>
        <v/>
      </c>
      <c r="F176" s="22">
        <f>IF($A176="","",SUMIF(VENDAS!$B:$B,$A176,VENDAS!$D:$D))</f>
        <v/>
      </c>
      <c r="G176" s="23">
        <f>IF($A176="","",SUMIF(COMPRAS!$B:$B,$A176,COMPRAS!$F:$F))</f>
        <v/>
      </c>
      <c r="H176" s="23">
        <f>IF($A176="","",SUMIF(VENDAS!$B:$B,$A176,VENDAS!$E:$E))</f>
        <v/>
      </c>
      <c r="I176" s="23">
        <f>IF($A176="","",H176-G176)</f>
        <v/>
      </c>
      <c r="J176" s="26">
        <f>IF($A176="","",SUMIF(COMPRAS!$B:$B,$A176,COMPRAS!$L:$L))</f>
        <v/>
      </c>
      <c r="K176" s="26">
        <f>IF($A176="","",SUMIF(VENDAS!$B:$B,$A176,VENDAS!$K:$K))</f>
        <v/>
      </c>
      <c r="L176" s="21">
        <f>IF($A176="","",IF(F176&gt;=E176,"FECHADO","ABERTO"))</f>
        <v/>
      </c>
      <c r="M176" s="26">
        <f>IF($A176="","",K176-J176)</f>
        <v/>
      </c>
    </row>
    <row r="177">
      <c r="A177" s="14" t="n"/>
      <c r="B177" s="13">
        <f>IF(OR($A177="",COUNTIF(COMPRAS!$B:$B,$A177)=0),"",MINIFS(COMPRAS!$A:$A,COMPRAS!$B:$B,$A177))</f>
        <v/>
      </c>
      <c r="C177" s="13">
        <f>IF(OR($A177="",COUNTIF(VENDAS!$B:$B,$A177)=0),"",MAXIFS(VENDAS!$A:$A,VENDAS!$B:$B,$A177))</f>
        <v/>
      </c>
      <c r="D177" s="15">
        <f>IF(OR($A177="",B177=""),"",IF(C177="",TODAY()-B177,C177-B177))</f>
        <v/>
      </c>
      <c r="E177" s="15">
        <f>IF($A177="","",SUMIF(COMPRAS!$B:$B,$A177,COMPRAS!$E:$E))</f>
        <v/>
      </c>
      <c r="F177" s="15">
        <f>IF($A177="","",SUMIF(VENDAS!$B:$B,$A177,VENDAS!$D:$D))</f>
        <v/>
      </c>
      <c r="G177" s="16">
        <f>IF($A177="","",SUMIF(COMPRAS!$B:$B,$A177,COMPRAS!$F:$F))</f>
        <v/>
      </c>
      <c r="H177" s="16">
        <f>IF($A177="","",SUMIF(VENDAS!$B:$B,$A177,VENDAS!$E:$E))</f>
        <v/>
      </c>
      <c r="I177" s="16">
        <f>IF($A177="","",H177-G177)</f>
        <v/>
      </c>
      <c r="J177" s="19">
        <f>IF($A177="","",SUMIF(COMPRAS!$B:$B,$A177,COMPRAS!$L:$L))</f>
        <v/>
      </c>
      <c r="K177" s="19">
        <f>IF($A177="","",SUMIF(VENDAS!$B:$B,$A177,VENDAS!$K:$K))</f>
        <v/>
      </c>
      <c r="L177" s="14">
        <f>IF($A177="","",IF(F177&gt;=E177,"FECHADO","ABERTO"))</f>
        <v/>
      </c>
      <c r="M177" s="19">
        <f>IF($A177="","",K177-J177)</f>
        <v/>
      </c>
    </row>
    <row r="178">
      <c r="A178" s="21" t="n"/>
      <c r="B178" s="20">
        <f>IF(OR($A178="",COUNTIF(COMPRAS!$B:$B,$A178)=0),"",MINIFS(COMPRAS!$A:$A,COMPRAS!$B:$B,$A178))</f>
        <v/>
      </c>
      <c r="C178" s="20">
        <f>IF(OR($A178="",COUNTIF(VENDAS!$B:$B,$A178)=0),"",MAXIFS(VENDAS!$A:$A,VENDAS!$B:$B,$A178))</f>
        <v/>
      </c>
      <c r="D178" s="22">
        <f>IF(OR($A178="",B178=""),"",IF(C178="",TODAY()-B178,C178-B178))</f>
        <v/>
      </c>
      <c r="E178" s="22">
        <f>IF($A178="","",SUMIF(COMPRAS!$B:$B,$A178,COMPRAS!$E:$E))</f>
        <v/>
      </c>
      <c r="F178" s="22">
        <f>IF($A178="","",SUMIF(VENDAS!$B:$B,$A178,VENDAS!$D:$D))</f>
        <v/>
      </c>
      <c r="G178" s="23">
        <f>IF($A178="","",SUMIF(COMPRAS!$B:$B,$A178,COMPRAS!$F:$F))</f>
        <v/>
      </c>
      <c r="H178" s="23">
        <f>IF($A178="","",SUMIF(VENDAS!$B:$B,$A178,VENDAS!$E:$E))</f>
        <v/>
      </c>
      <c r="I178" s="23">
        <f>IF($A178="","",H178-G178)</f>
        <v/>
      </c>
      <c r="J178" s="26">
        <f>IF($A178="","",SUMIF(COMPRAS!$B:$B,$A178,COMPRAS!$L:$L))</f>
        <v/>
      </c>
      <c r="K178" s="26">
        <f>IF($A178="","",SUMIF(VENDAS!$B:$B,$A178,VENDAS!$K:$K))</f>
        <v/>
      </c>
      <c r="L178" s="21">
        <f>IF($A178="","",IF(F178&gt;=E178,"FECHADO","ABERTO"))</f>
        <v/>
      </c>
      <c r="M178" s="26">
        <f>IF($A178="","",K178-J178)</f>
        <v/>
      </c>
    </row>
    <row r="179">
      <c r="A179" s="14" t="n"/>
      <c r="B179" s="13">
        <f>IF(OR($A179="",COUNTIF(COMPRAS!$B:$B,$A179)=0),"",MINIFS(COMPRAS!$A:$A,COMPRAS!$B:$B,$A179))</f>
        <v/>
      </c>
      <c r="C179" s="13">
        <f>IF(OR($A179="",COUNTIF(VENDAS!$B:$B,$A179)=0),"",MAXIFS(VENDAS!$A:$A,VENDAS!$B:$B,$A179))</f>
        <v/>
      </c>
      <c r="D179" s="15">
        <f>IF(OR($A179="",B179=""),"",IF(C179="",TODAY()-B179,C179-B179))</f>
        <v/>
      </c>
      <c r="E179" s="15">
        <f>IF($A179="","",SUMIF(COMPRAS!$B:$B,$A179,COMPRAS!$E:$E))</f>
        <v/>
      </c>
      <c r="F179" s="15">
        <f>IF($A179="","",SUMIF(VENDAS!$B:$B,$A179,VENDAS!$D:$D))</f>
        <v/>
      </c>
      <c r="G179" s="16">
        <f>IF($A179="","",SUMIF(COMPRAS!$B:$B,$A179,COMPRAS!$F:$F))</f>
        <v/>
      </c>
      <c r="H179" s="16">
        <f>IF($A179="","",SUMIF(VENDAS!$B:$B,$A179,VENDAS!$E:$E))</f>
        <v/>
      </c>
      <c r="I179" s="16">
        <f>IF($A179="","",H179-G179)</f>
        <v/>
      </c>
      <c r="J179" s="19">
        <f>IF($A179="","",SUMIF(COMPRAS!$B:$B,$A179,COMPRAS!$L:$L))</f>
        <v/>
      </c>
      <c r="K179" s="19">
        <f>IF($A179="","",SUMIF(VENDAS!$B:$B,$A179,VENDAS!$K:$K))</f>
        <v/>
      </c>
      <c r="L179" s="14">
        <f>IF($A179="","",IF(F179&gt;=E179,"FECHADO","ABERTO"))</f>
        <v/>
      </c>
      <c r="M179" s="19">
        <f>IF($A179="","",K179-J179)</f>
        <v/>
      </c>
    </row>
    <row r="180">
      <c r="A180" s="21" t="n"/>
      <c r="B180" s="20">
        <f>IF(OR($A180="",COUNTIF(COMPRAS!$B:$B,$A180)=0),"",MINIFS(COMPRAS!$A:$A,COMPRAS!$B:$B,$A180))</f>
        <v/>
      </c>
      <c r="C180" s="20">
        <f>IF(OR($A180="",COUNTIF(VENDAS!$B:$B,$A180)=0),"",MAXIFS(VENDAS!$A:$A,VENDAS!$B:$B,$A180))</f>
        <v/>
      </c>
      <c r="D180" s="22">
        <f>IF(OR($A180="",B180=""),"",IF(C180="",TODAY()-B180,C180-B180))</f>
        <v/>
      </c>
      <c r="E180" s="22">
        <f>IF($A180="","",SUMIF(COMPRAS!$B:$B,$A180,COMPRAS!$E:$E))</f>
        <v/>
      </c>
      <c r="F180" s="22">
        <f>IF($A180="","",SUMIF(VENDAS!$B:$B,$A180,VENDAS!$D:$D))</f>
        <v/>
      </c>
      <c r="G180" s="23">
        <f>IF($A180="","",SUMIF(COMPRAS!$B:$B,$A180,COMPRAS!$F:$F))</f>
        <v/>
      </c>
      <c r="H180" s="23">
        <f>IF($A180="","",SUMIF(VENDAS!$B:$B,$A180,VENDAS!$E:$E))</f>
        <v/>
      </c>
      <c r="I180" s="23">
        <f>IF($A180="","",H180-G180)</f>
        <v/>
      </c>
      <c r="J180" s="26">
        <f>IF($A180="","",SUMIF(COMPRAS!$B:$B,$A180,COMPRAS!$L:$L))</f>
        <v/>
      </c>
      <c r="K180" s="26">
        <f>IF($A180="","",SUMIF(VENDAS!$B:$B,$A180,VENDAS!$K:$K))</f>
        <v/>
      </c>
      <c r="L180" s="21">
        <f>IF($A180="","",IF(F180&gt;=E180,"FECHADO","ABERTO"))</f>
        <v/>
      </c>
      <c r="M180" s="26">
        <f>IF($A180="","",K180-J180)</f>
        <v/>
      </c>
    </row>
    <row r="181">
      <c r="A181" s="14" t="n"/>
      <c r="B181" s="13">
        <f>IF(OR($A181="",COUNTIF(COMPRAS!$B:$B,$A181)=0),"",MINIFS(COMPRAS!$A:$A,COMPRAS!$B:$B,$A181))</f>
        <v/>
      </c>
      <c r="C181" s="13">
        <f>IF(OR($A181="",COUNTIF(VENDAS!$B:$B,$A181)=0),"",MAXIFS(VENDAS!$A:$A,VENDAS!$B:$B,$A181))</f>
        <v/>
      </c>
      <c r="D181" s="15">
        <f>IF(OR($A181="",B181=""),"",IF(C181="",TODAY()-B181,C181-B181))</f>
        <v/>
      </c>
      <c r="E181" s="15">
        <f>IF($A181="","",SUMIF(COMPRAS!$B:$B,$A181,COMPRAS!$E:$E))</f>
        <v/>
      </c>
      <c r="F181" s="15">
        <f>IF($A181="","",SUMIF(VENDAS!$B:$B,$A181,VENDAS!$D:$D))</f>
        <v/>
      </c>
      <c r="G181" s="16">
        <f>IF($A181="","",SUMIF(COMPRAS!$B:$B,$A181,COMPRAS!$F:$F))</f>
        <v/>
      </c>
      <c r="H181" s="16">
        <f>IF($A181="","",SUMIF(VENDAS!$B:$B,$A181,VENDAS!$E:$E))</f>
        <v/>
      </c>
      <c r="I181" s="16">
        <f>IF($A181="","",H181-G181)</f>
        <v/>
      </c>
      <c r="J181" s="19">
        <f>IF($A181="","",SUMIF(COMPRAS!$B:$B,$A181,COMPRAS!$L:$L))</f>
        <v/>
      </c>
      <c r="K181" s="19">
        <f>IF($A181="","",SUMIF(VENDAS!$B:$B,$A181,VENDAS!$K:$K))</f>
        <v/>
      </c>
      <c r="L181" s="14">
        <f>IF($A181="","",IF(F181&gt;=E181,"FECHADO","ABERTO"))</f>
        <v/>
      </c>
      <c r="M181" s="19">
        <f>IF($A181="","",K181-J181)</f>
        <v/>
      </c>
    </row>
    <row r="182">
      <c r="A182" s="21" t="n"/>
      <c r="B182" s="20">
        <f>IF(OR($A182="",COUNTIF(COMPRAS!$B:$B,$A182)=0),"",MINIFS(COMPRAS!$A:$A,COMPRAS!$B:$B,$A182))</f>
        <v/>
      </c>
      <c r="C182" s="20">
        <f>IF(OR($A182="",COUNTIF(VENDAS!$B:$B,$A182)=0),"",MAXIFS(VENDAS!$A:$A,VENDAS!$B:$B,$A182))</f>
        <v/>
      </c>
      <c r="D182" s="22">
        <f>IF(OR($A182="",B182=""),"",IF(C182="",TODAY()-B182,C182-B182))</f>
        <v/>
      </c>
      <c r="E182" s="22">
        <f>IF($A182="","",SUMIF(COMPRAS!$B:$B,$A182,COMPRAS!$E:$E))</f>
        <v/>
      </c>
      <c r="F182" s="22">
        <f>IF($A182="","",SUMIF(VENDAS!$B:$B,$A182,VENDAS!$D:$D))</f>
        <v/>
      </c>
      <c r="G182" s="23">
        <f>IF($A182="","",SUMIF(COMPRAS!$B:$B,$A182,COMPRAS!$F:$F))</f>
        <v/>
      </c>
      <c r="H182" s="23">
        <f>IF($A182="","",SUMIF(VENDAS!$B:$B,$A182,VENDAS!$E:$E))</f>
        <v/>
      </c>
      <c r="I182" s="23">
        <f>IF($A182="","",H182-G182)</f>
        <v/>
      </c>
      <c r="J182" s="26">
        <f>IF($A182="","",SUMIF(COMPRAS!$B:$B,$A182,COMPRAS!$L:$L))</f>
        <v/>
      </c>
      <c r="K182" s="26">
        <f>IF($A182="","",SUMIF(VENDAS!$B:$B,$A182,VENDAS!$K:$K))</f>
        <v/>
      </c>
      <c r="L182" s="21">
        <f>IF($A182="","",IF(F182&gt;=E182,"FECHADO","ABERTO"))</f>
        <v/>
      </c>
      <c r="M182" s="26">
        <f>IF($A182="","",K182-J182)</f>
        <v/>
      </c>
    </row>
    <row r="183">
      <c r="A183" s="14" t="n"/>
      <c r="B183" s="13">
        <f>IF(OR($A183="",COUNTIF(COMPRAS!$B:$B,$A183)=0),"",MINIFS(COMPRAS!$A:$A,COMPRAS!$B:$B,$A183))</f>
        <v/>
      </c>
      <c r="C183" s="13">
        <f>IF(OR($A183="",COUNTIF(VENDAS!$B:$B,$A183)=0),"",MAXIFS(VENDAS!$A:$A,VENDAS!$B:$B,$A183))</f>
        <v/>
      </c>
      <c r="D183" s="15">
        <f>IF(OR($A183="",B183=""),"",IF(C183="",TODAY()-B183,C183-B183))</f>
        <v/>
      </c>
      <c r="E183" s="15">
        <f>IF($A183="","",SUMIF(COMPRAS!$B:$B,$A183,COMPRAS!$E:$E))</f>
        <v/>
      </c>
      <c r="F183" s="15">
        <f>IF($A183="","",SUMIF(VENDAS!$B:$B,$A183,VENDAS!$D:$D))</f>
        <v/>
      </c>
      <c r="G183" s="16">
        <f>IF($A183="","",SUMIF(COMPRAS!$B:$B,$A183,COMPRAS!$F:$F))</f>
        <v/>
      </c>
      <c r="H183" s="16">
        <f>IF($A183="","",SUMIF(VENDAS!$B:$B,$A183,VENDAS!$E:$E))</f>
        <v/>
      </c>
      <c r="I183" s="16">
        <f>IF($A183="","",H183-G183)</f>
        <v/>
      </c>
      <c r="J183" s="19">
        <f>IF($A183="","",SUMIF(COMPRAS!$B:$B,$A183,COMPRAS!$L:$L))</f>
        <v/>
      </c>
      <c r="K183" s="19">
        <f>IF($A183="","",SUMIF(VENDAS!$B:$B,$A183,VENDAS!$K:$K))</f>
        <v/>
      </c>
      <c r="L183" s="14">
        <f>IF($A183="","",IF(F183&gt;=E183,"FECHADO","ABERTO"))</f>
        <v/>
      </c>
      <c r="M183" s="19">
        <f>IF($A183="","",K183-J183)</f>
        <v/>
      </c>
    </row>
    <row r="184">
      <c r="A184" s="21" t="n"/>
      <c r="B184" s="20">
        <f>IF(OR($A184="",COUNTIF(COMPRAS!$B:$B,$A184)=0),"",MINIFS(COMPRAS!$A:$A,COMPRAS!$B:$B,$A184))</f>
        <v/>
      </c>
      <c r="C184" s="20">
        <f>IF(OR($A184="",COUNTIF(VENDAS!$B:$B,$A184)=0),"",MAXIFS(VENDAS!$A:$A,VENDAS!$B:$B,$A184))</f>
        <v/>
      </c>
      <c r="D184" s="22">
        <f>IF(OR($A184="",B184=""),"",IF(C184="",TODAY()-B184,C184-B184))</f>
        <v/>
      </c>
      <c r="E184" s="22">
        <f>IF($A184="","",SUMIF(COMPRAS!$B:$B,$A184,COMPRAS!$E:$E))</f>
        <v/>
      </c>
      <c r="F184" s="22">
        <f>IF($A184="","",SUMIF(VENDAS!$B:$B,$A184,VENDAS!$D:$D))</f>
        <v/>
      </c>
      <c r="G184" s="23">
        <f>IF($A184="","",SUMIF(COMPRAS!$B:$B,$A184,COMPRAS!$F:$F))</f>
        <v/>
      </c>
      <c r="H184" s="23">
        <f>IF($A184="","",SUMIF(VENDAS!$B:$B,$A184,VENDAS!$E:$E))</f>
        <v/>
      </c>
      <c r="I184" s="23">
        <f>IF($A184="","",H184-G184)</f>
        <v/>
      </c>
      <c r="J184" s="26">
        <f>IF($A184="","",SUMIF(COMPRAS!$B:$B,$A184,COMPRAS!$L:$L))</f>
        <v/>
      </c>
      <c r="K184" s="26">
        <f>IF($A184="","",SUMIF(VENDAS!$B:$B,$A184,VENDAS!$K:$K))</f>
        <v/>
      </c>
      <c r="L184" s="21">
        <f>IF($A184="","",IF(F184&gt;=E184,"FECHADO","ABERTO"))</f>
        <v/>
      </c>
      <c r="M184" s="26">
        <f>IF($A184="","",K184-J184)</f>
        <v/>
      </c>
    </row>
    <row r="185">
      <c r="A185" s="14" t="n"/>
      <c r="B185" s="13">
        <f>IF(OR($A185="",COUNTIF(COMPRAS!$B:$B,$A185)=0),"",MINIFS(COMPRAS!$A:$A,COMPRAS!$B:$B,$A185))</f>
        <v/>
      </c>
      <c r="C185" s="13">
        <f>IF(OR($A185="",COUNTIF(VENDAS!$B:$B,$A185)=0),"",MAXIFS(VENDAS!$A:$A,VENDAS!$B:$B,$A185))</f>
        <v/>
      </c>
      <c r="D185" s="15">
        <f>IF(OR($A185="",B185=""),"",IF(C185="",TODAY()-B185,C185-B185))</f>
        <v/>
      </c>
      <c r="E185" s="15">
        <f>IF($A185="","",SUMIF(COMPRAS!$B:$B,$A185,COMPRAS!$E:$E))</f>
        <v/>
      </c>
      <c r="F185" s="15">
        <f>IF($A185="","",SUMIF(VENDAS!$B:$B,$A185,VENDAS!$D:$D))</f>
        <v/>
      </c>
      <c r="G185" s="16">
        <f>IF($A185="","",SUMIF(COMPRAS!$B:$B,$A185,COMPRAS!$F:$F))</f>
        <v/>
      </c>
      <c r="H185" s="16">
        <f>IF($A185="","",SUMIF(VENDAS!$B:$B,$A185,VENDAS!$E:$E))</f>
        <v/>
      </c>
      <c r="I185" s="16">
        <f>IF($A185="","",H185-G185)</f>
        <v/>
      </c>
      <c r="J185" s="19">
        <f>IF($A185="","",SUMIF(COMPRAS!$B:$B,$A185,COMPRAS!$L:$L))</f>
        <v/>
      </c>
      <c r="K185" s="19">
        <f>IF($A185="","",SUMIF(VENDAS!$B:$B,$A185,VENDAS!$K:$K))</f>
        <v/>
      </c>
      <c r="L185" s="14">
        <f>IF($A185="","",IF(F185&gt;=E185,"FECHADO","ABERTO"))</f>
        <v/>
      </c>
      <c r="M185" s="19">
        <f>IF($A185="","",K185-J185)</f>
        <v/>
      </c>
    </row>
    <row r="186">
      <c r="A186" s="21" t="n"/>
      <c r="B186" s="20">
        <f>IF(OR($A186="",COUNTIF(COMPRAS!$B:$B,$A186)=0),"",MINIFS(COMPRAS!$A:$A,COMPRAS!$B:$B,$A186))</f>
        <v/>
      </c>
      <c r="C186" s="20">
        <f>IF(OR($A186="",COUNTIF(VENDAS!$B:$B,$A186)=0),"",MAXIFS(VENDAS!$A:$A,VENDAS!$B:$B,$A186))</f>
        <v/>
      </c>
      <c r="D186" s="22">
        <f>IF(OR($A186="",B186=""),"",IF(C186="",TODAY()-B186,C186-B186))</f>
        <v/>
      </c>
      <c r="E186" s="22">
        <f>IF($A186="","",SUMIF(COMPRAS!$B:$B,$A186,COMPRAS!$E:$E))</f>
        <v/>
      </c>
      <c r="F186" s="22">
        <f>IF($A186="","",SUMIF(VENDAS!$B:$B,$A186,VENDAS!$D:$D))</f>
        <v/>
      </c>
      <c r="G186" s="23">
        <f>IF($A186="","",SUMIF(COMPRAS!$B:$B,$A186,COMPRAS!$F:$F))</f>
        <v/>
      </c>
      <c r="H186" s="23">
        <f>IF($A186="","",SUMIF(VENDAS!$B:$B,$A186,VENDAS!$E:$E))</f>
        <v/>
      </c>
      <c r="I186" s="23">
        <f>IF($A186="","",H186-G186)</f>
        <v/>
      </c>
      <c r="J186" s="26">
        <f>IF($A186="","",SUMIF(COMPRAS!$B:$B,$A186,COMPRAS!$L:$L))</f>
        <v/>
      </c>
      <c r="K186" s="26">
        <f>IF($A186="","",SUMIF(VENDAS!$B:$B,$A186,VENDAS!$K:$K))</f>
        <v/>
      </c>
      <c r="L186" s="21">
        <f>IF($A186="","",IF(F186&gt;=E186,"FECHADO","ABERTO"))</f>
        <v/>
      </c>
      <c r="M186" s="26">
        <f>IF($A186="","",K186-J186)</f>
        <v/>
      </c>
    </row>
    <row r="187">
      <c r="A187" s="14" t="n"/>
      <c r="B187" s="13">
        <f>IF(OR($A187="",COUNTIF(COMPRAS!$B:$B,$A187)=0),"",MINIFS(COMPRAS!$A:$A,COMPRAS!$B:$B,$A187))</f>
        <v/>
      </c>
      <c r="C187" s="13">
        <f>IF(OR($A187="",COUNTIF(VENDAS!$B:$B,$A187)=0),"",MAXIFS(VENDAS!$A:$A,VENDAS!$B:$B,$A187))</f>
        <v/>
      </c>
      <c r="D187" s="15">
        <f>IF(OR($A187="",B187=""),"",IF(C187="",TODAY()-B187,C187-B187))</f>
        <v/>
      </c>
      <c r="E187" s="15">
        <f>IF($A187="","",SUMIF(COMPRAS!$B:$B,$A187,COMPRAS!$E:$E))</f>
        <v/>
      </c>
      <c r="F187" s="15">
        <f>IF($A187="","",SUMIF(VENDAS!$B:$B,$A187,VENDAS!$D:$D))</f>
        <v/>
      </c>
      <c r="G187" s="16">
        <f>IF($A187="","",SUMIF(COMPRAS!$B:$B,$A187,COMPRAS!$F:$F))</f>
        <v/>
      </c>
      <c r="H187" s="16">
        <f>IF($A187="","",SUMIF(VENDAS!$B:$B,$A187,VENDAS!$E:$E))</f>
        <v/>
      </c>
      <c r="I187" s="16">
        <f>IF($A187="","",H187-G187)</f>
        <v/>
      </c>
      <c r="J187" s="19">
        <f>IF($A187="","",SUMIF(COMPRAS!$B:$B,$A187,COMPRAS!$L:$L))</f>
        <v/>
      </c>
      <c r="K187" s="19">
        <f>IF($A187="","",SUMIF(VENDAS!$B:$B,$A187,VENDAS!$K:$K))</f>
        <v/>
      </c>
      <c r="L187" s="14">
        <f>IF($A187="","",IF(F187&gt;=E187,"FECHADO","ABERTO"))</f>
        <v/>
      </c>
      <c r="M187" s="19">
        <f>IF($A187="","",K187-J187)</f>
        <v/>
      </c>
    </row>
    <row r="188">
      <c r="A188" s="21" t="n"/>
      <c r="B188" s="20">
        <f>IF(OR($A188="",COUNTIF(COMPRAS!$B:$B,$A188)=0),"",MINIFS(COMPRAS!$A:$A,COMPRAS!$B:$B,$A188))</f>
        <v/>
      </c>
      <c r="C188" s="20">
        <f>IF(OR($A188="",COUNTIF(VENDAS!$B:$B,$A188)=0),"",MAXIFS(VENDAS!$A:$A,VENDAS!$B:$B,$A188))</f>
        <v/>
      </c>
      <c r="D188" s="22">
        <f>IF(OR($A188="",B188=""),"",IF(C188="",TODAY()-B188,C188-B188))</f>
        <v/>
      </c>
      <c r="E188" s="22">
        <f>IF($A188="","",SUMIF(COMPRAS!$B:$B,$A188,COMPRAS!$E:$E))</f>
        <v/>
      </c>
      <c r="F188" s="22">
        <f>IF($A188="","",SUMIF(VENDAS!$B:$B,$A188,VENDAS!$D:$D))</f>
        <v/>
      </c>
      <c r="G188" s="23">
        <f>IF($A188="","",SUMIF(COMPRAS!$B:$B,$A188,COMPRAS!$F:$F))</f>
        <v/>
      </c>
      <c r="H188" s="23">
        <f>IF($A188="","",SUMIF(VENDAS!$B:$B,$A188,VENDAS!$E:$E))</f>
        <v/>
      </c>
      <c r="I188" s="23">
        <f>IF($A188="","",H188-G188)</f>
        <v/>
      </c>
      <c r="J188" s="26">
        <f>IF($A188="","",SUMIF(COMPRAS!$B:$B,$A188,COMPRAS!$L:$L))</f>
        <v/>
      </c>
      <c r="K188" s="26">
        <f>IF($A188="","",SUMIF(VENDAS!$B:$B,$A188,VENDAS!$K:$K))</f>
        <v/>
      </c>
      <c r="L188" s="21">
        <f>IF($A188="","",IF(F188&gt;=E188,"FECHADO","ABERTO"))</f>
        <v/>
      </c>
      <c r="M188" s="26">
        <f>IF($A188="","",K188-J188)</f>
        <v/>
      </c>
    </row>
    <row r="189">
      <c r="A189" s="14" t="n"/>
      <c r="B189" s="13">
        <f>IF(OR($A189="",COUNTIF(COMPRAS!$B:$B,$A189)=0),"",MINIFS(COMPRAS!$A:$A,COMPRAS!$B:$B,$A189))</f>
        <v/>
      </c>
      <c r="C189" s="13">
        <f>IF(OR($A189="",COUNTIF(VENDAS!$B:$B,$A189)=0),"",MAXIFS(VENDAS!$A:$A,VENDAS!$B:$B,$A189))</f>
        <v/>
      </c>
      <c r="D189" s="15">
        <f>IF(OR($A189="",B189=""),"",IF(C189="",TODAY()-B189,C189-B189))</f>
        <v/>
      </c>
      <c r="E189" s="15">
        <f>IF($A189="","",SUMIF(COMPRAS!$B:$B,$A189,COMPRAS!$E:$E))</f>
        <v/>
      </c>
      <c r="F189" s="15">
        <f>IF($A189="","",SUMIF(VENDAS!$B:$B,$A189,VENDAS!$D:$D))</f>
        <v/>
      </c>
      <c r="G189" s="16">
        <f>IF($A189="","",SUMIF(COMPRAS!$B:$B,$A189,COMPRAS!$F:$F))</f>
        <v/>
      </c>
      <c r="H189" s="16">
        <f>IF($A189="","",SUMIF(VENDAS!$B:$B,$A189,VENDAS!$E:$E))</f>
        <v/>
      </c>
      <c r="I189" s="16">
        <f>IF($A189="","",H189-G189)</f>
        <v/>
      </c>
      <c r="J189" s="19">
        <f>IF($A189="","",SUMIF(COMPRAS!$B:$B,$A189,COMPRAS!$L:$L))</f>
        <v/>
      </c>
      <c r="K189" s="19">
        <f>IF($A189="","",SUMIF(VENDAS!$B:$B,$A189,VENDAS!$K:$K))</f>
        <v/>
      </c>
      <c r="L189" s="14">
        <f>IF($A189="","",IF(F189&gt;=E189,"FECHADO","ABERTO"))</f>
        <v/>
      </c>
      <c r="M189" s="19">
        <f>IF($A189="","",K189-J189)</f>
        <v/>
      </c>
    </row>
    <row r="190">
      <c r="A190" s="21" t="n"/>
      <c r="B190" s="20">
        <f>IF(OR($A190="",COUNTIF(COMPRAS!$B:$B,$A190)=0),"",MINIFS(COMPRAS!$A:$A,COMPRAS!$B:$B,$A190))</f>
        <v/>
      </c>
      <c r="C190" s="20">
        <f>IF(OR($A190="",COUNTIF(VENDAS!$B:$B,$A190)=0),"",MAXIFS(VENDAS!$A:$A,VENDAS!$B:$B,$A190))</f>
        <v/>
      </c>
      <c r="D190" s="22">
        <f>IF(OR($A190="",B190=""),"",IF(C190="",TODAY()-B190,C190-B190))</f>
        <v/>
      </c>
      <c r="E190" s="22">
        <f>IF($A190="","",SUMIF(COMPRAS!$B:$B,$A190,COMPRAS!$E:$E))</f>
        <v/>
      </c>
      <c r="F190" s="22">
        <f>IF($A190="","",SUMIF(VENDAS!$B:$B,$A190,VENDAS!$D:$D))</f>
        <v/>
      </c>
      <c r="G190" s="23">
        <f>IF($A190="","",SUMIF(COMPRAS!$B:$B,$A190,COMPRAS!$F:$F))</f>
        <v/>
      </c>
      <c r="H190" s="23">
        <f>IF($A190="","",SUMIF(VENDAS!$B:$B,$A190,VENDAS!$E:$E))</f>
        <v/>
      </c>
      <c r="I190" s="23">
        <f>IF($A190="","",H190-G190)</f>
        <v/>
      </c>
      <c r="J190" s="26">
        <f>IF($A190="","",SUMIF(COMPRAS!$B:$B,$A190,COMPRAS!$L:$L))</f>
        <v/>
      </c>
      <c r="K190" s="26">
        <f>IF($A190="","",SUMIF(VENDAS!$B:$B,$A190,VENDAS!$K:$K))</f>
        <v/>
      </c>
      <c r="L190" s="21">
        <f>IF($A190="","",IF(F190&gt;=E190,"FECHADO","ABERTO"))</f>
        <v/>
      </c>
      <c r="M190" s="26">
        <f>IF($A190="","",K190-J190)</f>
        <v/>
      </c>
    </row>
    <row r="191">
      <c r="A191" s="14" t="n"/>
      <c r="B191" s="13">
        <f>IF(OR($A191="",COUNTIF(COMPRAS!$B:$B,$A191)=0),"",MINIFS(COMPRAS!$A:$A,COMPRAS!$B:$B,$A191))</f>
        <v/>
      </c>
      <c r="C191" s="13">
        <f>IF(OR($A191="",COUNTIF(VENDAS!$B:$B,$A191)=0),"",MAXIFS(VENDAS!$A:$A,VENDAS!$B:$B,$A191))</f>
        <v/>
      </c>
      <c r="D191" s="15">
        <f>IF(OR($A191="",B191=""),"",IF(C191="",TODAY()-B191,C191-B191))</f>
        <v/>
      </c>
      <c r="E191" s="15">
        <f>IF($A191="","",SUMIF(COMPRAS!$B:$B,$A191,COMPRAS!$E:$E))</f>
        <v/>
      </c>
      <c r="F191" s="15">
        <f>IF($A191="","",SUMIF(VENDAS!$B:$B,$A191,VENDAS!$D:$D))</f>
        <v/>
      </c>
      <c r="G191" s="16">
        <f>IF($A191="","",SUMIF(COMPRAS!$B:$B,$A191,COMPRAS!$F:$F))</f>
        <v/>
      </c>
      <c r="H191" s="16">
        <f>IF($A191="","",SUMIF(VENDAS!$B:$B,$A191,VENDAS!$E:$E))</f>
        <v/>
      </c>
      <c r="I191" s="16">
        <f>IF($A191="","",H191-G191)</f>
        <v/>
      </c>
      <c r="J191" s="19">
        <f>IF($A191="","",SUMIF(COMPRAS!$B:$B,$A191,COMPRAS!$L:$L))</f>
        <v/>
      </c>
      <c r="K191" s="19">
        <f>IF($A191="","",SUMIF(VENDAS!$B:$B,$A191,VENDAS!$K:$K))</f>
        <v/>
      </c>
      <c r="L191" s="14">
        <f>IF($A191="","",IF(F191&gt;=E191,"FECHADO","ABERTO"))</f>
        <v/>
      </c>
      <c r="M191" s="19">
        <f>IF($A191="","",K191-J191)</f>
        <v/>
      </c>
    </row>
    <row r="192">
      <c r="A192" s="21" t="n"/>
      <c r="B192" s="20">
        <f>IF(OR($A192="",COUNTIF(COMPRAS!$B:$B,$A192)=0),"",MINIFS(COMPRAS!$A:$A,COMPRAS!$B:$B,$A192))</f>
        <v/>
      </c>
      <c r="C192" s="20">
        <f>IF(OR($A192="",COUNTIF(VENDAS!$B:$B,$A192)=0),"",MAXIFS(VENDAS!$A:$A,VENDAS!$B:$B,$A192))</f>
        <v/>
      </c>
      <c r="D192" s="22">
        <f>IF(OR($A192="",B192=""),"",IF(C192="",TODAY()-B192,C192-B192))</f>
        <v/>
      </c>
      <c r="E192" s="22">
        <f>IF($A192="","",SUMIF(COMPRAS!$B:$B,$A192,COMPRAS!$E:$E))</f>
        <v/>
      </c>
      <c r="F192" s="22">
        <f>IF($A192="","",SUMIF(VENDAS!$B:$B,$A192,VENDAS!$D:$D))</f>
        <v/>
      </c>
      <c r="G192" s="23">
        <f>IF($A192="","",SUMIF(COMPRAS!$B:$B,$A192,COMPRAS!$F:$F))</f>
        <v/>
      </c>
      <c r="H192" s="23">
        <f>IF($A192="","",SUMIF(VENDAS!$B:$B,$A192,VENDAS!$E:$E))</f>
        <v/>
      </c>
      <c r="I192" s="23">
        <f>IF($A192="","",H192-G192)</f>
        <v/>
      </c>
      <c r="J192" s="26">
        <f>IF($A192="","",SUMIF(COMPRAS!$B:$B,$A192,COMPRAS!$L:$L))</f>
        <v/>
      </c>
      <c r="K192" s="26">
        <f>IF($A192="","",SUMIF(VENDAS!$B:$B,$A192,VENDAS!$K:$K))</f>
        <v/>
      </c>
      <c r="L192" s="21">
        <f>IF($A192="","",IF(F192&gt;=E192,"FECHADO","ABERTO"))</f>
        <v/>
      </c>
      <c r="M192" s="26">
        <f>IF($A192="","",K192-J192)</f>
        <v/>
      </c>
    </row>
    <row r="193">
      <c r="A193" s="14" t="n"/>
      <c r="B193" s="13">
        <f>IF(OR($A193="",COUNTIF(COMPRAS!$B:$B,$A193)=0),"",MINIFS(COMPRAS!$A:$A,COMPRAS!$B:$B,$A193))</f>
        <v/>
      </c>
      <c r="C193" s="13">
        <f>IF(OR($A193="",COUNTIF(VENDAS!$B:$B,$A193)=0),"",MAXIFS(VENDAS!$A:$A,VENDAS!$B:$B,$A193))</f>
        <v/>
      </c>
      <c r="D193" s="15">
        <f>IF(OR($A193="",B193=""),"",IF(C193="",TODAY()-B193,C193-B193))</f>
        <v/>
      </c>
      <c r="E193" s="15">
        <f>IF($A193="","",SUMIF(COMPRAS!$B:$B,$A193,COMPRAS!$E:$E))</f>
        <v/>
      </c>
      <c r="F193" s="15">
        <f>IF($A193="","",SUMIF(VENDAS!$B:$B,$A193,VENDAS!$D:$D))</f>
        <v/>
      </c>
      <c r="G193" s="16">
        <f>IF($A193="","",SUMIF(COMPRAS!$B:$B,$A193,COMPRAS!$F:$F))</f>
        <v/>
      </c>
      <c r="H193" s="16">
        <f>IF($A193="","",SUMIF(VENDAS!$B:$B,$A193,VENDAS!$E:$E))</f>
        <v/>
      </c>
      <c r="I193" s="16">
        <f>IF($A193="","",H193-G193)</f>
        <v/>
      </c>
      <c r="J193" s="19">
        <f>IF($A193="","",SUMIF(COMPRAS!$B:$B,$A193,COMPRAS!$L:$L))</f>
        <v/>
      </c>
      <c r="K193" s="19">
        <f>IF($A193="","",SUMIF(VENDAS!$B:$B,$A193,VENDAS!$K:$K))</f>
        <v/>
      </c>
      <c r="L193" s="14">
        <f>IF($A193="","",IF(F193&gt;=E193,"FECHADO","ABERTO"))</f>
        <v/>
      </c>
      <c r="M193" s="19">
        <f>IF($A193="","",K193-J193)</f>
        <v/>
      </c>
    </row>
    <row r="194">
      <c r="A194" s="21" t="n"/>
      <c r="B194" s="20">
        <f>IF(OR($A194="",COUNTIF(COMPRAS!$B:$B,$A194)=0),"",MINIFS(COMPRAS!$A:$A,COMPRAS!$B:$B,$A194))</f>
        <v/>
      </c>
      <c r="C194" s="20">
        <f>IF(OR($A194="",COUNTIF(VENDAS!$B:$B,$A194)=0),"",MAXIFS(VENDAS!$A:$A,VENDAS!$B:$B,$A194))</f>
        <v/>
      </c>
      <c r="D194" s="22">
        <f>IF(OR($A194="",B194=""),"",IF(C194="",TODAY()-B194,C194-B194))</f>
        <v/>
      </c>
      <c r="E194" s="22">
        <f>IF($A194="","",SUMIF(COMPRAS!$B:$B,$A194,COMPRAS!$E:$E))</f>
        <v/>
      </c>
      <c r="F194" s="22">
        <f>IF($A194="","",SUMIF(VENDAS!$B:$B,$A194,VENDAS!$D:$D))</f>
        <v/>
      </c>
      <c r="G194" s="23">
        <f>IF($A194="","",SUMIF(COMPRAS!$B:$B,$A194,COMPRAS!$F:$F))</f>
        <v/>
      </c>
      <c r="H194" s="23">
        <f>IF($A194="","",SUMIF(VENDAS!$B:$B,$A194,VENDAS!$E:$E))</f>
        <v/>
      </c>
      <c r="I194" s="23">
        <f>IF($A194="","",H194-G194)</f>
        <v/>
      </c>
      <c r="J194" s="26">
        <f>IF($A194="","",SUMIF(COMPRAS!$B:$B,$A194,COMPRAS!$L:$L))</f>
        <v/>
      </c>
      <c r="K194" s="26">
        <f>IF($A194="","",SUMIF(VENDAS!$B:$B,$A194,VENDAS!$K:$K))</f>
        <v/>
      </c>
      <c r="L194" s="21">
        <f>IF($A194="","",IF(F194&gt;=E194,"FECHADO","ABERTO"))</f>
        <v/>
      </c>
      <c r="M194" s="26">
        <f>IF($A194="","",K194-J194)</f>
        <v/>
      </c>
    </row>
    <row r="195">
      <c r="A195" s="14" t="n"/>
      <c r="B195" s="13">
        <f>IF(OR($A195="",COUNTIF(COMPRAS!$B:$B,$A195)=0),"",MINIFS(COMPRAS!$A:$A,COMPRAS!$B:$B,$A195))</f>
        <v/>
      </c>
      <c r="C195" s="13">
        <f>IF(OR($A195="",COUNTIF(VENDAS!$B:$B,$A195)=0),"",MAXIFS(VENDAS!$A:$A,VENDAS!$B:$B,$A195))</f>
        <v/>
      </c>
      <c r="D195" s="15">
        <f>IF(OR($A195="",B195=""),"",IF(C195="",TODAY()-B195,C195-B195))</f>
        <v/>
      </c>
      <c r="E195" s="15">
        <f>IF($A195="","",SUMIF(COMPRAS!$B:$B,$A195,COMPRAS!$E:$E))</f>
        <v/>
      </c>
      <c r="F195" s="15">
        <f>IF($A195="","",SUMIF(VENDAS!$B:$B,$A195,VENDAS!$D:$D))</f>
        <v/>
      </c>
      <c r="G195" s="16">
        <f>IF($A195="","",SUMIF(COMPRAS!$B:$B,$A195,COMPRAS!$F:$F))</f>
        <v/>
      </c>
      <c r="H195" s="16">
        <f>IF($A195="","",SUMIF(VENDAS!$B:$B,$A195,VENDAS!$E:$E))</f>
        <v/>
      </c>
      <c r="I195" s="16">
        <f>IF($A195="","",H195-G195)</f>
        <v/>
      </c>
      <c r="J195" s="19">
        <f>IF($A195="","",SUMIF(COMPRAS!$B:$B,$A195,COMPRAS!$L:$L))</f>
        <v/>
      </c>
      <c r="K195" s="19">
        <f>IF($A195="","",SUMIF(VENDAS!$B:$B,$A195,VENDAS!$K:$K))</f>
        <v/>
      </c>
      <c r="L195" s="14">
        <f>IF($A195="","",IF(F195&gt;=E195,"FECHADO","ABERTO"))</f>
        <v/>
      </c>
      <c r="M195" s="19">
        <f>IF($A195="","",K195-J195)</f>
        <v/>
      </c>
    </row>
    <row r="196">
      <c r="A196" s="21" t="n"/>
      <c r="B196" s="20">
        <f>IF(OR($A196="",COUNTIF(COMPRAS!$B:$B,$A196)=0),"",MINIFS(COMPRAS!$A:$A,COMPRAS!$B:$B,$A196))</f>
        <v/>
      </c>
      <c r="C196" s="20">
        <f>IF(OR($A196="",COUNTIF(VENDAS!$B:$B,$A196)=0),"",MAXIFS(VENDAS!$A:$A,VENDAS!$B:$B,$A196))</f>
        <v/>
      </c>
      <c r="D196" s="22">
        <f>IF(OR($A196="",B196=""),"",IF(C196="",TODAY()-B196,C196-B196))</f>
        <v/>
      </c>
      <c r="E196" s="22">
        <f>IF($A196="","",SUMIF(COMPRAS!$B:$B,$A196,COMPRAS!$E:$E))</f>
        <v/>
      </c>
      <c r="F196" s="22">
        <f>IF($A196="","",SUMIF(VENDAS!$B:$B,$A196,VENDAS!$D:$D))</f>
        <v/>
      </c>
      <c r="G196" s="23">
        <f>IF($A196="","",SUMIF(COMPRAS!$B:$B,$A196,COMPRAS!$F:$F))</f>
        <v/>
      </c>
      <c r="H196" s="23">
        <f>IF($A196="","",SUMIF(VENDAS!$B:$B,$A196,VENDAS!$E:$E))</f>
        <v/>
      </c>
      <c r="I196" s="23">
        <f>IF($A196="","",H196-G196)</f>
        <v/>
      </c>
      <c r="J196" s="26">
        <f>IF($A196="","",SUMIF(COMPRAS!$B:$B,$A196,COMPRAS!$L:$L))</f>
        <v/>
      </c>
      <c r="K196" s="26">
        <f>IF($A196="","",SUMIF(VENDAS!$B:$B,$A196,VENDAS!$K:$K))</f>
        <v/>
      </c>
      <c r="L196" s="21">
        <f>IF($A196="","",IF(F196&gt;=E196,"FECHADO","ABERTO"))</f>
        <v/>
      </c>
      <c r="M196" s="26">
        <f>IF($A196="","",K196-J196)</f>
        <v/>
      </c>
    </row>
    <row r="197">
      <c r="A197" s="14" t="n"/>
      <c r="B197" s="13">
        <f>IF(OR($A197="",COUNTIF(COMPRAS!$B:$B,$A197)=0),"",MINIFS(COMPRAS!$A:$A,COMPRAS!$B:$B,$A197))</f>
        <v/>
      </c>
      <c r="C197" s="13">
        <f>IF(OR($A197="",COUNTIF(VENDAS!$B:$B,$A197)=0),"",MAXIFS(VENDAS!$A:$A,VENDAS!$B:$B,$A197))</f>
        <v/>
      </c>
      <c r="D197" s="15">
        <f>IF(OR($A197="",B197=""),"",IF(C197="",TODAY()-B197,C197-B197))</f>
        <v/>
      </c>
      <c r="E197" s="15">
        <f>IF($A197="","",SUMIF(COMPRAS!$B:$B,$A197,COMPRAS!$E:$E))</f>
        <v/>
      </c>
      <c r="F197" s="15">
        <f>IF($A197="","",SUMIF(VENDAS!$B:$B,$A197,VENDAS!$D:$D))</f>
        <v/>
      </c>
      <c r="G197" s="16">
        <f>IF($A197="","",SUMIF(COMPRAS!$B:$B,$A197,COMPRAS!$F:$F))</f>
        <v/>
      </c>
      <c r="H197" s="16">
        <f>IF($A197="","",SUMIF(VENDAS!$B:$B,$A197,VENDAS!$E:$E))</f>
        <v/>
      </c>
      <c r="I197" s="16">
        <f>IF($A197="","",H197-G197)</f>
        <v/>
      </c>
      <c r="J197" s="19">
        <f>IF($A197="","",SUMIF(COMPRAS!$B:$B,$A197,COMPRAS!$L:$L))</f>
        <v/>
      </c>
      <c r="K197" s="19">
        <f>IF($A197="","",SUMIF(VENDAS!$B:$B,$A197,VENDAS!$K:$K))</f>
        <v/>
      </c>
      <c r="L197" s="14">
        <f>IF($A197="","",IF(F197&gt;=E197,"FECHADO","ABERTO"))</f>
        <v/>
      </c>
      <c r="M197" s="19">
        <f>IF($A197="","",K197-J197)</f>
        <v/>
      </c>
    </row>
    <row r="198">
      <c r="A198" s="21" t="n"/>
      <c r="B198" s="20">
        <f>IF(OR($A198="",COUNTIF(COMPRAS!$B:$B,$A198)=0),"",MINIFS(COMPRAS!$A:$A,COMPRAS!$B:$B,$A198))</f>
        <v/>
      </c>
      <c r="C198" s="20">
        <f>IF(OR($A198="",COUNTIF(VENDAS!$B:$B,$A198)=0),"",MAXIFS(VENDAS!$A:$A,VENDAS!$B:$B,$A198))</f>
        <v/>
      </c>
      <c r="D198" s="22">
        <f>IF(OR($A198="",B198=""),"",IF(C198="",TODAY()-B198,C198-B198))</f>
        <v/>
      </c>
      <c r="E198" s="22">
        <f>IF($A198="","",SUMIF(COMPRAS!$B:$B,$A198,COMPRAS!$E:$E))</f>
        <v/>
      </c>
      <c r="F198" s="22">
        <f>IF($A198="","",SUMIF(VENDAS!$B:$B,$A198,VENDAS!$D:$D))</f>
        <v/>
      </c>
      <c r="G198" s="23">
        <f>IF($A198="","",SUMIF(COMPRAS!$B:$B,$A198,COMPRAS!$F:$F))</f>
        <v/>
      </c>
      <c r="H198" s="23">
        <f>IF($A198="","",SUMIF(VENDAS!$B:$B,$A198,VENDAS!$E:$E))</f>
        <v/>
      </c>
      <c r="I198" s="23">
        <f>IF($A198="","",H198-G198)</f>
        <v/>
      </c>
      <c r="J198" s="26">
        <f>IF($A198="","",SUMIF(COMPRAS!$B:$B,$A198,COMPRAS!$L:$L))</f>
        <v/>
      </c>
      <c r="K198" s="26">
        <f>IF($A198="","",SUMIF(VENDAS!$B:$B,$A198,VENDAS!$K:$K))</f>
        <v/>
      </c>
      <c r="L198" s="21">
        <f>IF($A198="","",IF(F198&gt;=E198,"FECHADO","ABERTO"))</f>
        <v/>
      </c>
      <c r="M198" s="26">
        <f>IF($A198="","",K198-J198)</f>
        <v/>
      </c>
    </row>
    <row r="199">
      <c r="A199" s="14" t="n"/>
      <c r="B199" s="13">
        <f>IF(OR($A199="",COUNTIF(COMPRAS!$B:$B,$A199)=0),"",MINIFS(COMPRAS!$A:$A,COMPRAS!$B:$B,$A199))</f>
        <v/>
      </c>
      <c r="C199" s="13">
        <f>IF(OR($A199="",COUNTIF(VENDAS!$B:$B,$A199)=0),"",MAXIFS(VENDAS!$A:$A,VENDAS!$B:$B,$A199))</f>
        <v/>
      </c>
      <c r="D199" s="15">
        <f>IF(OR($A199="",B199=""),"",IF(C199="",TODAY()-B199,C199-B199))</f>
        <v/>
      </c>
      <c r="E199" s="15">
        <f>IF($A199="","",SUMIF(COMPRAS!$B:$B,$A199,COMPRAS!$E:$E))</f>
        <v/>
      </c>
      <c r="F199" s="15">
        <f>IF($A199="","",SUMIF(VENDAS!$B:$B,$A199,VENDAS!$D:$D))</f>
        <v/>
      </c>
      <c r="G199" s="16">
        <f>IF($A199="","",SUMIF(COMPRAS!$B:$B,$A199,COMPRAS!$F:$F))</f>
        <v/>
      </c>
      <c r="H199" s="16">
        <f>IF($A199="","",SUMIF(VENDAS!$B:$B,$A199,VENDAS!$E:$E))</f>
        <v/>
      </c>
      <c r="I199" s="16">
        <f>IF($A199="","",H199-G199)</f>
        <v/>
      </c>
      <c r="J199" s="19">
        <f>IF($A199="","",SUMIF(COMPRAS!$B:$B,$A199,COMPRAS!$L:$L))</f>
        <v/>
      </c>
      <c r="K199" s="19">
        <f>IF($A199="","",SUMIF(VENDAS!$B:$B,$A199,VENDAS!$K:$K))</f>
        <v/>
      </c>
      <c r="L199" s="14">
        <f>IF($A199="","",IF(F199&gt;=E199,"FECHADO","ABERTO"))</f>
        <v/>
      </c>
      <c r="M199" s="19">
        <f>IF($A199="","",K199-J199)</f>
        <v/>
      </c>
    </row>
    <row r="200">
      <c r="A200" s="21" t="n"/>
      <c r="B200" s="20">
        <f>IF(OR($A200="",COUNTIF(COMPRAS!$B:$B,$A200)=0),"",MINIFS(COMPRAS!$A:$A,COMPRAS!$B:$B,$A200))</f>
        <v/>
      </c>
      <c r="C200" s="20">
        <f>IF(OR($A200="",COUNTIF(VENDAS!$B:$B,$A200)=0),"",MAXIFS(VENDAS!$A:$A,VENDAS!$B:$B,$A200))</f>
        <v/>
      </c>
      <c r="D200" s="22">
        <f>IF(OR($A200="",B200=""),"",IF(C200="",TODAY()-B200,C200-B200))</f>
        <v/>
      </c>
      <c r="E200" s="22">
        <f>IF($A200="","",SUMIF(COMPRAS!$B:$B,$A200,COMPRAS!$E:$E))</f>
        <v/>
      </c>
      <c r="F200" s="22">
        <f>IF($A200="","",SUMIF(VENDAS!$B:$B,$A200,VENDAS!$D:$D))</f>
        <v/>
      </c>
      <c r="G200" s="23">
        <f>IF($A200="","",SUMIF(COMPRAS!$B:$B,$A200,COMPRAS!$F:$F))</f>
        <v/>
      </c>
      <c r="H200" s="23">
        <f>IF($A200="","",SUMIF(VENDAS!$B:$B,$A200,VENDAS!$E:$E))</f>
        <v/>
      </c>
      <c r="I200" s="23">
        <f>IF($A200="","",H200-G200)</f>
        <v/>
      </c>
      <c r="J200" s="26">
        <f>IF($A200="","",SUMIF(COMPRAS!$B:$B,$A200,COMPRAS!$L:$L))</f>
        <v/>
      </c>
      <c r="K200" s="26">
        <f>IF($A200="","",SUMIF(VENDAS!$B:$B,$A200,VENDAS!$K:$K))</f>
        <v/>
      </c>
      <c r="L200" s="21">
        <f>IF($A200="","",IF(F200&gt;=E200,"FECHADO","ABERTO"))</f>
        <v/>
      </c>
      <c r="M200" s="26">
        <f>IF($A200="","",K200-J200)</f>
        <v/>
      </c>
    </row>
    <row r="201">
      <c r="A201" s="14" t="n"/>
      <c r="B201" s="13">
        <f>IF(OR($A201="",COUNTIF(COMPRAS!$B:$B,$A201)=0),"",MINIFS(COMPRAS!$A:$A,COMPRAS!$B:$B,$A201))</f>
        <v/>
      </c>
      <c r="C201" s="13">
        <f>IF(OR($A201="",COUNTIF(VENDAS!$B:$B,$A201)=0),"",MAXIFS(VENDAS!$A:$A,VENDAS!$B:$B,$A201))</f>
        <v/>
      </c>
      <c r="D201" s="15">
        <f>IF(OR($A201="",B201=""),"",IF(C201="",TODAY()-B201,C201-B201))</f>
        <v/>
      </c>
      <c r="E201" s="15">
        <f>IF($A201="","",SUMIF(COMPRAS!$B:$B,$A201,COMPRAS!$E:$E))</f>
        <v/>
      </c>
      <c r="F201" s="15">
        <f>IF($A201="","",SUMIF(VENDAS!$B:$B,$A201,VENDAS!$D:$D))</f>
        <v/>
      </c>
      <c r="G201" s="16">
        <f>IF($A201="","",SUMIF(COMPRAS!$B:$B,$A201,COMPRAS!$F:$F))</f>
        <v/>
      </c>
      <c r="H201" s="16">
        <f>IF($A201="","",SUMIF(VENDAS!$B:$B,$A201,VENDAS!$E:$E))</f>
        <v/>
      </c>
      <c r="I201" s="16">
        <f>IF($A201="","",H201-G201)</f>
        <v/>
      </c>
      <c r="J201" s="19">
        <f>IF($A201="","",SUMIF(COMPRAS!$B:$B,$A201,COMPRAS!$L:$L))</f>
        <v/>
      </c>
      <c r="K201" s="19">
        <f>IF($A201="","",SUMIF(VENDAS!$B:$B,$A201,VENDAS!$K:$K))</f>
        <v/>
      </c>
      <c r="L201" s="14">
        <f>IF($A201="","",IF(F201&gt;=E201,"FECHADO","ABERTO"))</f>
        <v/>
      </c>
      <c r="M201" s="19">
        <f>IF($A201="","",K201-J201)</f>
        <v/>
      </c>
    </row>
    <row r="202">
      <c r="A202" s="21" t="n"/>
      <c r="B202" s="20">
        <f>IF(OR($A202="",COUNTIF(COMPRAS!$B:$B,$A202)=0),"",MINIFS(COMPRAS!$A:$A,COMPRAS!$B:$B,$A202))</f>
        <v/>
      </c>
      <c r="C202" s="20">
        <f>IF(OR($A202="",COUNTIF(VENDAS!$B:$B,$A202)=0),"",MAXIFS(VENDAS!$A:$A,VENDAS!$B:$B,$A202))</f>
        <v/>
      </c>
      <c r="D202" s="22">
        <f>IF(OR($A202="",B202=""),"",IF(C202="",TODAY()-B202,C202-B202))</f>
        <v/>
      </c>
      <c r="E202" s="22">
        <f>IF($A202="","",SUMIF(COMPRAS!$B:$B,$A202,COMPRAS!$E:$E))</f>
        <v/>
      </c>
      <c r="F202" s="22">
        <f>IF($A202="","",SUMIF(VENDAS!$B:$B,$A202,VENDAS!$D:$D))</f>
        <v/>
      </c>
      <c r="G202" s="23">
        <f>IF($A202="","",SUMIF(COMPRAS!$B:$B,$A202,COMPRAS!$F:$F))</f>
        <v/>
      </c>
      <c r="H202" s="23">
        <f>IF($A202="","",SUMIF(VENDAS!$B:$B,$A202,VENDAS!$E:$E))</f>
        <v/>
      </c>
      <c r="I202" s="23">
        <f>IF($A202="","",H202-G202)</f>
        <v/>
      </c>
      <c r="J202" s="26">
        <f>IF($A202="","",SUMIF(COMPRAS!$B:$B,$A202,COMPRAS!$L:$L))</f>
        <v/>
      </c>
      <c r="K202" s="26">
        <f>IF($A202="","",SUMIF(VENDAS!$B:$B,$A202,VENDAS!$K:$K))</f>
        <v/>
      </c>
      <c r="L202" s="21">
        <f>IF($A202="","",IF(F202&gt;=E202,"FECHADO","ABERTO"))</f>
        <v/>
      </c>
      <c r="M202" s="26">
        <f>IF($A202="","",K202-J202)</f>
        <v/>
      </c>
    </row>
    <row r="203">
      <c r="A203" s="14" t="n"/>
      <c r="B203" s="13">
        <f>IF(OR($A203="",COUNTIF(COMPRAS!$B:$B,$A203)=0),"",MINIFS(COMPRAS!$A:$A,COMPRAS!$B:$B,$A203))</f>
        <v/>
      </c>
      <c r="C203" s="13">
        <f>IF(OR($A203="",COUNTIF(VENDAS!$B:$B,$A203)=0),"",MAXIFS(VENDAS!$A:$A,VENDAS!$B:$B,$A203))</f>
        <v/>
      </c>
      <c r="D203" s="15">
        <f>IF(OR($A203="",B203=""),"",IF(C203="",TODAY()-B203,C203-B203))</f>
        <v/>
      </c>
      <c r="E203" s="15">
        <f>IF($A203="","",SUMIF(COMPRAS!$B:$B,$A203,COMPRAS!$E:$E))</f>
        <v/>
      </c>
      <c r="F203" s="15">
        <f>IF($A203="","",SUMIF(VENDAS!$B:$B,$A203,VENDAS!$D:$D))</f>
        <v/>
      </c>
      <c r="G203" s="16">
        <f>IF($A203="","",SUMIF(COMPRAS!$B:$B,$A203,COMPRAS!$F:$F))</f>
        <v/>
      </c>
      <c r="H203" s="16">
        <f>IF($A203="","",SUMIF(VENDAS!$B:$B,$A203,VENDAS!$E:$E))</f>
        <v/>
      </c>
      <c r="I203" s="16">
        <f>IF($A203="","",H203-G203)</f>
        <v/>
      </c>
      <c r="J203" s="19">
        <f>IF($A203="","",SUMIF(COMPRAS!$B:$B,$A203,COMPRAS!$L:$L))</f>
        <v/>
      </c>
      <c r="K203" s="19">
        <f>IF($A203="","",SUMIF(VENDAS!$B:$B,$A203,VENDAS!$K:$K))</f>
        <v/>
      </c>
      <c r="L203" s="14">
        <f>IF($A203="","",IF(F203&gt;=E203,"FECHADO","ABERTO"))</f>
        <v/>
      </c>
      <c r="M203" s="19">
        <f>IF($A203="","",K203-J203)</f>
        <v/>
      </c>
    </row>
    <row r="204">
      <c r="A204" s="21" t="n"/>
      <c r="B204" s="20">
        <f>IF(OR($A204="",COUNTIF(COMPRAS!$B:$B,$A204)=0),"",MINIFS(COMPRAS!$A:$A,COMPRAS!$B:$B,$A204))</f>
        <v/>
      </c>
      <c r="C204" s="20">
        <f>IF(OR($A204="",COUNTIF(VENDAS!$B:$B,$A204)=0),"",MAXIFS(VENDAS!$A:$A,VENDAS!$B:$B,$A204))</f>
        <v/>
      </c>
      <c r="D204" s="22">
        <f>IF(OR($A204="",B204=""),"",IF(C204="",TODAY()-B204,C204-B204))</f>
        <v/>
      </c>
      <c r="E204" s="22">
        <f>IF($A204="","",SUMIF(COMPRAS!$B:$B,$A204,COMPRAS!$E:$E))</f>
        <v/>
      </c>
      <c r="F204" s="22">
        <f>IF($A204="","",SUMIF(VENDAS!$B:$B,$A204,VENDAS!$D:$D))</f>
        <v/>
      </c>
      <c r="G204" s="23">
        <f>IF($A204="","",SUMIF(COMPRAS!$B:$B,$A204,COMPRAS!$F:$F))</f>
        <v/>
      </c>
      <c r="H204" s="23">
        <f>IF($A204="","",SUMIF(VENDAS!$B:$B,$A204,VENDAS!$E:$E))</f>
        <v/>
      </c>
      <c r="I204" s="23">
        <f>IF($A204="","",H204-G204)</f>
        <v/>
      </c>
      <c r="J204" s="26">
        <f>IF($A204="","",SUMIF(COMPRAS!$B:$B,$A204,COMPRAS!$L:$L))</f>
        <v/>
      </c>
      <c r="K204" s="26">
        <f>IF($A204="","",SUMIF(VENDAS!$B:$B,$A204,VENDAS!$K:$K))</f>
        <v/>
      </c>
      <c r="L204" s="21">
        <f>IF($A204="","",IF(F204&gt;=E204,"FECHADO","ABERTO"))</f>
        <v/>
      </c>
      <c r="M204" s="26">
        <f>IF($A204="","",K204-J204)</f>
        <v/>
      </c>
    </row>
    <row r="205">
      <c r="A205" s="14" t="n"/>
      <c r="B205" s="13">
        <f>IF(OR($A205="",COUNTIF(COMPRAS!$B:$B,$A205)=0),"",MINIFS(COMPRAS!$A:$A,COMPRAS!$B:$B,$A205))</f>
        <v/>
      </c>
      <c r="C205" s="13">
        <f>IF(OR($A205="",COUNTIF(VENDAS!$B:$B,$A205)=0),"",MAXIFS(VENDAS!$A:$A,VENDAS!$B:$B,$A205))</f>
        <v/>
      </c>
      <c r="D205" s="15">
        <f>IF(OR($A205="",B205=""),"",IF(C205="",TODAY()-B205,C205-B205))</f>
        <v/>
      </c>
      <c r="E205" s="15">
        <f>IF($A205="","",SUMIF(COMPRAS!$B:$B,$A205,COMPRAS!$E:$E))</f>
        <v/>
      </c>
      <c r="F205" s="15">
        <f>IF($A205="","",SUMIF(VENDAS!$B:$B,$A205,VENDAS!$D:$D))</f>
        <v/>
      </c>
      <c r="G205" s="16">
        <f>IF($A205="","",SUMIF(COMPRAS!$B:$B,$A205,COMPRAS!$F:$F))</f>
        <v/>
      </c>
      <c r="H205" s="16">
        <f>IF($A205="","",SUMIF(VENDAS!$B:$B,$A205,VENDAS!$E:$E))</f>
        <v/>
      </c>
      <c r="I205" s="16">
        <f>IF($A205="","",H205-G205)</f>
        <v/>
      </c>
      <c r="J205" s="19">
        <f>IF($A205="","",SUMIF(COMPRAS!$B:$B,$A205,COMPRAS!$L:$L))</f>
        <v/>
      </c>
      <c r="K205" s="19">
        <f>IF($A205="","",SUMIF(VENDAS!$B:$B,$A205,VENDAS!$K:$K))</f>
        <v/>
      </c>
      <c r="L205" s="14">
        <f>IF($A205="","",IF(F205&gt;=E205,"FECHADO","ABERTO"))</f>
        <v/>
      </c>
      <c r="M205" s="19">
        <f>IF($A205="","",K205-J205)</f>
        <v/>
      </c>
    </row>
    <row r="206">
      <c r="A206" s="21" t="n"/>
      <c r="B206" s="20">
        <f>IF(OR($A206="",COUNTIF(COMPRAS!$B:$B,$A206)=0),"",MINIFS(COMPRAS!$A:$A,COMPRAS!$B:$B,$A206))</f>
        <v/>
      </c>
      <c r="C206" s="20">
        <f>IF(OR($A206="",COUNTIF(VENDAS!$B:$B,$A206)=0),"",MAXIFS(VENDAS!$A:$A,VENDAS!$B:$B,$A206))</f>
        <v/>
      </c>
      <c r="D206" s="22">
        <f>IF(OR($A206="",B206=""),"",IF(C206="",TODAY()-B206,C206-B206))</f>
        <v/>
      </c>
      <c r="E206" s="22">
        <f>IF($A206="","",SUMIF(COMPRAS!$B:$B,$A206,COMPRAS!$E:$E))</f>
        <v/>
      </c>
      <c r="F206" s="22">
        <f>IF($A206="","",SUMIF(VENDAS!$B:$B,$A206,VENDAS!$D:$D))</f>
        <v/>
      </c>
      <c r="G206" s="23">
        <f>IF($A206="","",SUMIF(COMPRAS!$B:$B,$A206,COMPRAS!$F:$F))</f>
        <v/>
      </c>
      <c r="H206" s="23">
        <f>IF($A206="","",SUMIF(VENDAS!$B:$B,$A206,VENDAS!$E:$E))</f>
        <v/>
      </c>
      <c r="I206" s="23">
        <f>IF($A206="","",H206-G206)</f>
        <v/>
      </c>
      <c r="J206" s="26">
        <f>IF($A206="","",SUMIF(COMPRAS!$B:$B,$A206,COMPRAS!$L:$L))</f>
        <v/>
      </c>
      <c r="K206" s="26">
        <f>IF($A206="","",SUMIF(VENDAS!$B:$B,$A206,VENDAS!$K:$K))</f>
        <v/>
      </c>
      <c r="L206" s="21">
        <f>IF($A206="","",IF(F206&gt;=E206,"FECHADO","ABERTO"))</f>
        <v/>
      </c>
      <c r="M206" s="26">
        <f>IF($A206="","",K206-J206)</f>
        <v/>
      </c>
    </row>
    <row r="207">
      <c r="A207" s="14" t="n"/>
      <c r="B207" s="13">
        <f>IF(OR($A207="",COUNTIF(COMPRAS!$B:$B,$A207)=0),"",MINIFS(COMPRAS!$A:$A,COMPRAS!$B:$B,$A207))</f>
        <v/>
      </c>
      <c r="C207" s="13">
        <f>IF(OR($A207="",COUNTIF(VENDAS!$B:$B,$A207)=0),"",MAXIFS(VENDAS!$A:$A,VENDAS!$B:$B,$A207))</f>
        <v/>
      </c>
      <c r="D207" s="15">
        <f>IF(OR($A207="",B207=""),"",IF(C207="",TODAY()-B207,C207-B207))</f>
        <v/>
      </c>
      <c r="E207" s="15">
        <f>IF($A207="","",SUMIF(COMPRAS!$B:$B,$A207,COMPRAS!$E:$E))</f>
        <v/>
      </c>
      <c r="F207" s="15">
        <f>IF($A207="","",SUMIF(VENDAS!$B:$B,$A207,VENDAS!$D:$D))</f>
        <v/>
      </c>
      <c r="G207" s="16">
        <f>IF($A207="","",SUMIF(COMPRAS!$B:$B,$A207,COMPRAS!$F:$F))</f>
        <v/>
      </c>
      <c r="H207" s="16">
        <f>IF($A207="","",SUMIF(VENDAS!$B:$B,$A207,VENDAS!$E:$E))</f>
        <v/>
      </c>
      <c r="I207" s="16">
        <f>IF($A207="","",H207-G207)</f>
        <v/>
      </c>
      <c r="J207" s="19">
        <f>IF($A207="","",SUMIF(COMPRAS!$B:$B,$A207,COMPRAS!$L:$L))</f>
        <v/>
      </c>
      <c r="K207" s="19">
        <f>IF($A207="","",SUMIF(VENDAS!$B:$B,$A207,VENDAS!$K:$K))</f>
        <v/>
      </c>
      <c r="L207" s="14">
        <f>IF($A207="","",IF(F207&gt;=E207,"FECHADO","ABERTO"))</f>
        <v/>
      </c>
      <c r="M207" s="19">
        <f>IF($A207="","",K207-J207)</f>
        <v/>
      </c>
    </row>
    <row r="208">
      <c r="A208" s="21" t="n"/>
      <c r="B208" s="20">
        <f>IF(OR($A208="",COUNTIF(COMPRAS!$B:$B,$A208)=0),"",MINIFS(COMPRAS!$A:$A,COMPRAS!$B:$B,$A208))</f>
        <v/>
      </c>
      <c r="C208" s="20">
        <f>IF(OR($A208="",COUNTIF(VENDAS!$B:$B,$A208)=0),"",MAXIFS(VENDAS!$A:$A,VENDAS!$B:$B,$A208))</f>
        <v/>
      </c>
      <c r="D208" s="22">
        <f>IF(OR($A208="",B208=""),"",IF(C208="",TODAY()-B208,C208-B208))</f>
        <v/>
      </c>
      <c r="E208" s="22">
        <f>IF($A208="","",SUMIF(COMPRAS!$B:$B,$A208,COMPRAS!$E:$E))</f>
        <v/>
      </c>
      <c r="F208" s="22">
        <f>IF($A208="","",SUMIF(VENDAS!$B:$B,$A208,VENDAS!$D:$D))</f>
        <v/>
      </c>
      <c r="G208" s="23">
        <f>IF($A208="","",SUMIF(COMPRAS!$B:$B,$A208,COMPRAS!$F:$F))</f>
        <v/>
      </c>
      <c r="H208" s="23">
        <f>IF($A208="","",SUMIF(VENDAS!$B:$B,$A208,VENDAS!$E:$E))</f>
        <v/>
      </c>
      <c r="I208" s="23">
        <f>IF($A208="","",H208-G208)</f>
        <v/>
      </c>
      <c r="J208" s="26">
        <f>IF($A208="","",SUMIF(COMPRAS!$B:$B,$A208,COMPRAS!$L:$L))</f>
        <v/>
      </c>
      <c r="K208" s="26">
        <f>IF($A208="","",SUMIF(VENDAS!$B:$B,$A208,VENDAS!$K:$K))</f>
        <v/>
      </c>
      <c r="L208" s="21">
        <f>IF($A208="","",IF(F208&gt;=E208,"FECHADO","ABERTO"))</f>
        <v/>
      </c>
      <c r="M208" s="26">
        <f>IF($A208="","",K208-J208)</f>
        <v/>
      </c>
    </row>
    <row r="209">
      <c r="A209" s="14" t="n"/>
      <c r="B209" s="13">
        <f>IF(OR($A209="",COUNTIF(COMPRAS!$B:$B,$A209)=0),"",MINIFS(COMPRAS!$A:$A,COMPRAS!$B:$B,$A209))</f>
        <v/>
      </c>
      <c r="C209" s="13">
        <f>IF(OR($A209="",COUNTIF(VENDAS!$B:$B,$A209)=0),"",MAXIFS(VENDAS!$A:$A,VENDAS!$B:$B,$A209))</f>
        <v/>
      </c>
      <c r="D209" s="15">
        <f>IF(OR($A209="",B209=""),"",IF(C209="",TODAY()-B209,C209-B209))</f>
        <v/>
      </c>
      <c r="E209" s="15">
        <f>IF($A209="","",SUMIF(COMPRAS!$B:$B,$A209,COMPRAS!$E:$E))</f>
        <v/>
      </c>
      <c r="F209" s="15">
        <f>IF($A209="","",SUMIF(VENDAS!$B:$B,$A209,VENDAS!$D:$D))</f>
        <v/>
      </c>
      <c r="G209" s="16">
        <f>IF($A209="","",SUMIF(COMPRAS!$B:$B,$A209,COMPRAS!$F:$F))</f>
        <v/>
      </c>
      <c r="H209" s="16">
        <f>IF($A209="","",SUMIF(VENDAS!$B:$B,$A209,VENDAS!$E:$E))</f>
        <v/>
      </c>
      <c r="I209" s="16">
        <f>IF($A209="","",H209-G209)</f>
        <v/>
      </c>
      <c r="J209" s="19">
        <f>IF($A209="","",SUMIF(COMPRAS!$B:$B,$A209,COMPRAS!$L:$L))</f>
        <v/>
      </c>
      <c r="K209" s="19">
        <f>IF($A209="","",SUMIF(VENDAS!$B:$B,$A209,VENDAS!$K:$K))</f>
        <v/>
      </c>
      <c r="L209" s="14">
        <f>IF($A209="","",IF(F209&gt;=E209,"FECHADO","ABERTO"))</f>
        <v/>
      </c>
      <c r="M209" s="19">
        <f>IF($A209="","",K209-J209)</f>
        <v/>
      </c>
    </row>
    <row r="210">
      <c r="A210" s="21" t="n"/>
      <c r="B210" s="20">
        <f>IF(OR($A210="",COUNTIF(COMPRAS!$B:$B,$A210)=0),"",MINIFS(COMPRAS!$A:$A,COMPRAS!$B:$B,$A210))</f>
        <v/>
      </c>
      <c r="C210" s="20">
        <f>IF(OR($A210="",COUNTIF(VENDAS!$B:$B,$A210)=0),"",MAXIFS(VENDAS!$A:$A,VENDAS!$B:$B,$A210))</f>
        <v/>
      </c>
      <c r="D210" s="22">
        <f>IF(OR($A210="",B210=""),"",IF(C210="",TODAY()-B210,C210-B210))</f>
        <v/>
      </c>
      <c r="E210" s="22">
        <f>IF($A210="","",SUMIF(COMPRAS!$B:$B,$A210,COMPRAS!$E:$E))</f>
        <v/>
      </c>
      <c r="F210" s="22">
        <f>IF($A210="","",SUMIF(VENDAS!$B:$B,$A210,VENDAS!$D:$D))</f>
        <v/>
      </c>
      <c r="G210" s="23">
        <f>IF($A210="","",SUMIF(COMPRAS!$B:$B,$A210,COMPRAS!$F:$F))</f>
        <v/>
      </c>
      <c r="H210" s="23">
        <f>IF($A210="","",SUMIF(VENDAS!$B:$B,$A210,VENDAS!$E:$E))</f>
        <v/>
      </c>
      <c r="I210" s="23">
        <f>IF($A210="","",H210-G210)</f>
        <v/>
      </c>
      <c r="J210" s="26">
        <f>IF($A210="","",SUMIF(COMPRAS!$B:$B,$A210,COMPRAS!$L:$L))</f>
        <v/>
      </c>
      <c r="K210" s="26">
        <f>IF($A210="","",SUMIF(VENDAS!$B:$B,$A210,VENDAS!$K:$K))</f>
        <v/>
      </c>
      <c r="L210" s="21">
        <f>IF($A210="","",IF(F210&gt;=E210,"FECHADO","ABERTO"))</f>
        <v/>
      </c>
      <c r="M210" s="26">
        <f>IF($A210="","",K210-J210)</f>
        <v/>
      </c>
    </row>
    <row r="211">
      <c r="A211" s="14" t="n"/>
      <c r="B211" s="13">
        <f>IF(OR($A211="",COUNTIF(COMPRAS!$B:$B,$A211)=0),"",MINIFS(COMPRAS!$A:$A,COMPRAS!$B:$B,$A211))</f>
        <v/>
      </c>
      <c r="C211" s="13">
        <f>IF(OR($A211="",COUNTIF(VENDAS!$B:$B,$A211)=0),"",MAXIFS(VENDAS!$A:$A,VENDAS!$B:$B,$A211))</f>
        <v/>
      </c>
      <c r="D211" s="15">
        <f>IF(OR($A211="",B211=""),"",IF(C211="",TODAY()-B211,C211-B211))</f>
        <v/>
      </c>
      <c r="E211" s="15">
        <f>IF($A211="","",SUMIF(COMPRAS!$B:$B,$A211,COMPRAS!$E:$E))</f>
        <v/>
      </c>
      <c r="F211" s="15">
        <f>IF($A211="","",SUMIF(VENDAS!$B:$B,$A211,VENDAS!$D:$D))</f>
        <v/>
      </c>
      <c r="G211" s="16">
        <f>IF($A211="","",SUMIF(COMPRAS!$B:$B,$A211,COMPRAS!$F:$F))</f>
        <v/>
      </c>
      <c r="H211" s="16">
        <f>IF($A211="","",SUMIF(VENDAS!$B:$B,$A211,VENDAS!$E:$E))</f>
        <v/>
      </c>
      <c r="I211" s="16">
        <f>IF($A211="","",H211-G211)</f>
        <v/>
      </c>
      <c r="J211" s="19">
        <f>IF($A211="","",SUMIF(COMPRAS!$B:$B,$A211,COMPRAS!$L:$L))</f>
        <v/>
      </c>
      <c r="K211" s="19">
        <f>IF($A211="","",SUMIF(VENDAS!$B:$B,$A211,VENDAS!$K:$K))</f>
        <v/>
      </c>
      <c r="L211" s="14">
        <f>IF($A211="","",IF(F211&gt;=E211,"FECHADO","ABERTO"))</f>
        <v/>
      </c>
      <c r="M211" s="19">
        <f>IF($A211="","",K211-J211)</f>
        <v/>
      </c>
    </row>
    <row r="212">
      <c r="A212" s="21" t="n"/>
      <c r="B212" s="20">
        <f>IF(OR($A212="",COUNTIF(COMPRAS!$B:$B,$A212)=0),"",MINIFS(COMPRAS!$A:$A,COMPRAS!$B:$B,$A212))</f>
        <v/>
      </c>
      <c r="C212" s="20">
        <f>IF(OR($A212="",COUNTIF(VENDAS!$B:$B,$A212)=0),"",MAXIFS(VENDAS!$A:$A,VENDAS!$B:$B,$A212))</f>
        <v/>
      </c>
      <c r="D212" s="22">
        <f>IF(OR($A212="",B212=""),"",IF(C212="",TODAY()-B212,C212-B212))</f>
        <v/>
      </c>
      <c r="E212" s="22">
        <f>IF($A212="","",SUMIF(COMPRAS!$B:$B,$A212,COMPRAS!$E:$E))</f>
        <v/>
      </c>
      <c r="F212" s="22">
        <f>IF($A212="","",SUMIF(VENDAS!$B:$B,$A212,VENDAS!$D:$D))</f>
        <v/>
      </c>
      <c r="G212" s="23">
        <f>IF($A212="","",SUMIF(COMPRAS!$B:$B,$A212,COMPRAS!$F:$F))</f>
        <v/>
      </c>
      <c r="H212" s="23">
        <f>IF($A212="","",SUMIF(VENDAS!$B:$B,$A212,VENDAS!$E:$E))</f>
        <v/>
      </c>
      <c r="I212" s="23">
        <f>IF($A212="","",H212-G212)</f>
        <v/>
      </c>
      <c r="J212" s="26">
        <f>IF($A212="","",SUMIF(COMPRAS!$B:$B,$A212,COMPRAS!$L:$L))</f>
        <v/>
      </c>
      <c r="K212" s="26">
        <f>IF($A212="","",SUMIF(VENDAS!$B:$B,$A212,VENDAS!$K:$K))</f>
        <v/>
      </c>
      <c r="L212" s="21">
        <f>IF($A212="","",IF(F212&gt;=E212,"FECHADO","ABERTO"))</f>
        <v/>
      </c>
      <c r="M212" s="26">
        <f>IF($A212="","",K212-J212)</f>
        <v/>
      </c>
    </row>
    <row r="213">
      <c r="A213" s="14" t="n"/>
      <c r="B213" s="13">
        <f>IF(OR($A213="",COUNTIF(COMPRAS!$B:$B,$A213)=0),"",MINIFS(COMPRAS!$A:$A,COMPRAS!$B:$B,$A213))</f>
        <v/>
      </c>
      <c r="C213" s="13">
        <f>IF(OR($A213="",COUNTIF(VENDAS!$B:$B,$A213)=0),"",MAXIFS(VENDAS!$A:$A,VENDAS!$B:$B,$A213))</f>
        <v/>
      </c>
      <c r="D213" s="15">
        <f>IF(OR($A213="",B213=""),"",IF(C213="",TODAY()-B213,C213-B213))</f>
        <v/>
      </c>
      <c r="E213" s="15">
        <f>IF($A213="","",SUMIF(COMPRAS!$B:$B,$A213,COMPRAS!$E:$E))</f>
        <v/>
      </c>
      <c r="F213" s="15">
        <f>IF($A213="","",SUMIF(VENDAS!$B:$B,$A213,VENDAS!$D:$D))</f>
        <v/>
      </c>
      <c r="G213" s="16">
        <f>IF($A213="","",SUMIF(COMPRAS!$B:$B,$A213,COMPRAS!$F:$F))</f>
        <v/>
      </c>
      <c r="H213" s="16">
        <f>IF($A213="","",SUMIF(VENDAS!$B:$B,$A213,VENDAS!$E:$E))</f>
        <v/>
      </c>
      <c r="I213" s="16">
        <f>IF($A213="","",H213-G213)</f>
        <v/>
      </c>
      <c r="J213" s="19">
        <f>IF($A213="","",SUMIF(COMPRAS!$B:$B,$A213,COMPRAS!$L:$L))</f>
        <v/>
      </c>
      <c r="K213" s="19">
        <f>IF($A213="","",SUMIF(VENDAS!$B:$B,$A213,VENDAS!$K:$K))</f>
        <v/>
      </c>
      <c r="L213" s="14">
        <f>IF($A213="","",IF(F213&gt;=E213,"FECHADO","ABERTO"))</f>
        <v/>
      </c>
      <c r="M213" s="19">
        <f>IF($A213="","",K213-J213)</f>
        <v/>
      </c>
    </row>
    <row r="214">
      <c r="A214" s="21" t="n"/>
      <c r="B214" s="20">
        <f>IF(OR($A214="",COUNTIF(COMPRAS!$B:$B,$A214)=0),"",MINIFS(COMPRAS!$A:$A,COMPRAS!$B:$B,$A214))</f>
        <v/>
      </c>
      <c r="C214" s="20">
        <f>IF(OR($A214="",COUNTIF(VENDAS!$B:$B,$A214)=0),"",MAXIFS(VENDAS!$A:$A,VENDAS!$B:$B,$A214))</f>
        <v/>
      </c>
      <c r="D214" s="22">
        <f>IF(OR($A214="",B214=""),"",IF(C214="",TODAY()-B214,C214-B214))</f>
        <v/>
      </c>
      <c r="E214" s="22">
        <f>IF($A214="","",SUMIF(COMPRAS!$B:$B,$A214,COMPRAS!$E:$E))</f>
        <v/>
      </c>
      <c r="F214" s="22">
        <f>IF($A214="","",SUMIF(VENDAS!$B:$B,$A214,VENDAS!$D:$D))</f>
        <v/>
      </c>
      <c r="G214" s="23">
        <f>IF($A214="","",SUMIF(COMPRAS!$B:$B,$A214,COMPRAS!$F:$F))</f>
        <v/>
      </c>
      <c r="H214" s="23">
        <f>IF($A214="","",SUMIF(VENDAS!$B:$B,$A214,VENDAS!$E:$E))</f>
        <v/>
      </c>
      <c r="I214" s="23">
        <f>IF($A214="","",H214-G214)</f>
        <v/>
      </c>
      <c r="J214" s="26">
        <f>IF($A214="","",SUMIF(COMPRAS!$B:$B,$A214,COMPRAS!$L:$L))</f>
        <v/>
      </c>
      <c r="K214" s="26">
        <f>IF($A214="","",SUMIF(VENDAS!$B:$B,$A214,VENDAS!$K:$K))</f>
        <v/>
      </c>
      <c r="L214" s="21">
        <f>IF($A214="","",IF(F214&gt;=E214,"FECHADO","ABERTO"))</f>
        <v/>
      </c>
      <c r="M214" s="26">
        <f>IF($A214="","",K214-J214)</f>
        <v/>
      </c>
    </row>
    <row r="215">
      <c r="A215" s="14" t="n"/>
      <c r="B215" s="13">
        <f>IF(OR($A215="",COUNTIF(COMPRAS!$B:$B,$A215)=0),"",MINIFS(COMPRAS!$A:$A,COMPRAS!$B:$B,$A215))</f>
        <v/>
      </c>
      <c r="C215" s="13">
        <f>IF(OR($A215="",COUNTIF(VENDAS!$B:$B,$A215)=0),"",MAXIFS(VENDAS!$A:$A,VENDAS!$B:$B,$A215))</f>
        <v/>
      </c>
      <c r="D215" s="15">
        <f>IF(OR($A215="",B215=""),"",IF(C215="",TODAY()-B215,C215-B215))</f>
        <v/>
      </c>
      <c r="E215" s="15">
        <f>IF($A215="","",SUMIF(COMPRAS!$B:$B,$A215,COMPRAS!$E:$E))</f>
        <v/>
      </c>
      <c r="F215" s="15">
        <f>IF($A215="","",SUMIF(VENDAS!$B:$B,$A215,VENDAS!$D:$D))</f>
        <v/>
      </c>
      <c r="G215" s="16">
        <f>IF($A215="","",SUMIF(COMPRAS!$B:$B,$A215,COMPRAS!$F:$F))</f>
        <v/>
      </c>
      <c r="H215" s="16">
        <f>IF($A215="","",SUMIF(VENDAS!$B:$B,$A215,VENDAS!$E:$E))</f>
        <v/>
      </c>
      <c r="I215" s="16">
        <f>IF($A215="","",H215-G215)</f>
        <v/>
      </c>
      <c r="J215" s="19">
        <f>IF($A215="","",SUMIF(COMPRAS!$B:$B,$A215,COMPRAS!$L:$L))</f>
        <v/>
      </c>
      <c r="K215" s="19">
        <f>IF($A215="","",SUMIF(VENDAS!$B:$B,$A215,VENDAS!$K:$K))</f>
        <v/>
      </c>
      <c r="L215" s="14">
        <f>IF($A215="","",IF(F215&gt;=E215,"FECHADO","ABERTO"))</f>
        <v/>
      </c>
      <c r="M215" s="19">
        <f>IF($A215="","",K215-J215)</f>
        <v/>
      </c>
    </row>
    <row r="216">
      <c r="A216" s="21" t="n"/>
      <c r="B216" s="20">
        <f>IF(OR($A216="",COUNTIF(COMPRAS!$B:$B,$A216)=0),"",MINIFS(COMPRAS!$A:$A,COMPRAS!$B:$B,$A216))</f>
        <v/>
      </c>
      <c r="C216" s="20">
        <f>IF(OR($A216="",COUNTIF(VENDAS!$B:$B,$A216)=0),"",MAXIFS(VENDAS!$A:$A,VENDAS!$B:$B,$A216))</f>
        <v/>
      </c>
      <c r="D216" s="22">
        <f>IF(OR($A216="",B216=""),"",IF(C216="",TODAY()-B216,C216-B216))</f>
        <v/>
      </c>
      <c r="E216" s="22">
        <f>IF($A216="","",SUMIF(COMPRAS!$B:$B,$A216,COMPRAS!$E:$E))</f>
        <v/>
      </c>
      <c r="F216" s="22">
        <f>IF($A216="","",SUMIF(VENDAS!$B:$B,$A216,VENDAS!$D:$D))</f>
        <v/>
      </c>
      <c r="G216" s="23">
        <f>IF($A216="","",SUMIF(COMPRAS!$B:$B,$A216,COMPRAS!$F:$F))</f>
        <v/>
      </c>
      <c r="H216" s="23">
        <f>IF($A216="","",SUMIF(VENDAS!$B:$B,$A216,VENDAS!$E:$E))</f>
        <v/>
      </c>
      <c r="I216" s="23">
        <f>IF($A216="","",H216-G216)</f>
        <v/>
      </c>
      <c r="J216" s="26">
        <f>IF($A216="","",SUMIF(COMPRAS!$B:$B,$A216,COMPRAS!$L:$L))</f>
        <v/>
      </c>
      <c r="K216" s="26">
        <f>IF($A216="","",SUMIF(VENDAS!$B:$B,$A216,VENDAS!$K:$K))</f>
        <v/>
      </c>
      <c r="L216" s="21">
        <f>IF($A216="","",IF(F216&gt;=E216,"FECHADO","ABERTO"))</f>
        <v/>
      </c>
      <c r="M216" s="26">
        <f>IF($A216="","",K216-J216)</f>
        <v/>
      </c>
    </row>
    <row r="217">
      <c r="A217" s="14" t="n"/>
      <c r="B217" s="13">
        <f>IF(OR($A217="",COUNTIF(COMPRAS!$B:$B,$A217)=0),"",MINIFS(COMPRAS!$A:$A,COMPRAS!$B:$B,$A217))</f>
        <v/>
      </c>
      <c r="C217" s="13">
        <f>IF(OR($A217="",COUNTIF(VENDAS!$B:$B,$A217)=0),"",MAXIFS(VENDAS!$A:$A,VENDAS!$B:$B,$A217))</f>
        <v/>
      </c>
      <c r="D217" s="15">
        <f>IF(OR($A217="",B217=""),"",IF(C217="",TODAY()-B217,C217-B217))</f>
        <v/>
      </c>
      <c r="E217" s="15">
        <f>IF($A217="","",SUMIF(COMPRAS!$B:$B,$A217,COMPRAS!$E:$E))</f>
        <v/>
      </c>
      <c r="F217" s="15">
        <f>IF($A217="","",SUMIF(VENDAS!$B:$B,$A217,VENDAS!$D:$D))</f>
        <v/>
      </c>
      <c r="G217" s="16">
        <f>IF($A217="","",SUMIF(COMPRAS!$B:$B,$A217,COMPRAS!$F:$F))</f>
        <v/>
      </c>
      <c r="H217" s="16">
        <f>IF($A217="","",SUMIF(VENDAS!$B:$B,$A217,VENDAS!$E:$E))</f>
        <v/>
      </c>
      <c r="I217" s="16">
        <f>IF($A217="","",H217-G217)</f>
        <v/>
      </c>
      <c r="J217" s="19">
        <f>IF($A217="","",SUMIF(COMPRAS!$B:$B,$A217,COMPRAS!$L:$L))</f>
        <v/>
      </c>
      <c r="K217" s="19">
        <f>IF($A217="","",SUMIF(VENDAS!$B:$B,$A217,VENDAS!$K:$K))</f>
        <v/>
      </c>
      <c r="L217" s="14">
        <f>IF($A217="","",IF(F217&gt;=E217,"FECHADO","ABERTO"))</f>
        <v/>
      </c>
      <c r="M217" s="19">
        <f>IF($A217="","",K217-J217)</f>
        <v/>
      </c>
    </row>
    <row r="218">
      <c r="A218" s="21" t="n"/>
      <c r="B218" s="20">
        <f>IF(OR($A218="",COUNTIF(COMPRAS!$B:$B,$A218)=0),"",MINIFS(COMPRAS!$A:$A,COMPRAS!$B:$B,$A218))</f>
        <v/>
      </c>
      <c r="C218" s="20">
        <f>IF(OR($A218="",COUNTIF(VENDAS!$B:$B,$A218)=0),"",MAXIFS(VENDAS!$A:$A,VENDAS!$B:$B,$A218))</f>
        <v/>
      </c>
      <c r="D218" s="22">
        <f>IF(OR($A218="",B218=""),"",IF(C218="",TODAY()-B218,C218-B218))</f>
        <v/>
      </c>
      <c r="E218" s="22">
        <f>IF($A218="","",SUMIF(COMPRAS!$B:$B,$A218,COMPRAS!$E:$E))</f>
        <v/>
      </c>
      <c r="F218" s="22">
        <f>IF($A218="","",SUMIF(VENDAS!$B:$B,$A218,VENDAS!$D:$D))</f>
        <v/>
      </c>
      <c r="G218" s="23">
        <f>IF($A218="","",SUMIF(COMPRAS!$B:$B,$A218,COMPRAS!$F:$F))</f>
        <v/>
      </c>
      <c r="H218" s="23">
        <f>IF($A218="","",SUMIF(VENDAS!$B:$B,$A218,VENDAS!$E:$E))</f>
        <v/>
      </c>
      <c r="I218" s="23">
        <f>IF($A218="","",H218-G218)</f>
        <v/>
      </c>
      <c r="J218" s="26">
        <f>IF($A218="","",SUMIF(COMPRAS!$B:$B,$A218,COMPRAS!$L:$L))</f>
        <v/>
      </c>
      <c r="K218" s="26">
        <f>IF($A218="","",SUMIF(VENDAS!$B:$B,$A218,VENDAS!$K:$K))</f>
        <v/>
      </c>
      <c r="L218" s="21">
        <f>IF($A218="","",IF(F218&gt;=E218,"FECHADO","ABERTO"))</f>
        <v/>
      </c>
      <c r="M218" s="26">
        <f>IF($A218="","",K218-J218)</f>
        <v/>
      </c>
    </row>
    <row r="219">
      <c r="A219" s="14" t="n"/>
      <c r="B219" s="13">
        <f>IF(OR($A219="",COUNTIF(COMPRAS!$B:$B,$A219)=0),"",MINIFS(COMPRAS!$A:$A,COMPRAS!$B:$B,$A219))</f>
        <v/>
      </c>
      <c r="C219" s="13">
        <f>IF(OR($A219="",COUNTIF(VENDAS!$B:$B,$A219)=0),"",MAXIFS(VENDAS!$A:$A,VENDAS!$B:$B,$A219))</f>
        <v/>
      </c>
      <c r="D219" s="15">
        <f>IF(OR($A219="",B219=""),"",IF(C219="",TODAY()-B219,C219-B219))</f>
        <v/>
      </c>
      <c r="E219" s="15">
        <f>IF($A219="","",SUMIF(COMPRAS!$B:$B,$A219,COMPRAS!$E:$E))</f>
        <v/>
      </c>
      <c r="F219" s="15">
        <f>IF($A219="","",SUMIF(VENDAS!$B:$B,$A219,VENDAS!$D:$D))</f>
        <v/>
      </c>
      <c r="G219" s="16">
        <f>IF($A219="","",SUMIF(COMPRAS!$B:$B,$A219,COMPRAS!$F:$F))</f>
        <v/>
      </c>
      <c r="H219" s="16">
        <f>IF($A219="","",SUMIF(VENDAS!$B:$B,$A219,VENDAS!$E:$E))</f>
        <v/>
      </c>
      <c r="I219" s="16">
        <f>IF($A219="","",H219-G219)</f>
        <v/>
      </c>
      <c r="J219" s="19">
        <f>IF($A219="","",SUMIF(COMPRAS!$B:$B,$A219,COMPRAS!$L:$L))</f>
        <v/>
      </c>
      <c r="K219" s="19">
        <f>IF($A219="","",SUMIF(VENDAS!$B:$B,$A219,VENDAS!$K:$K))</f>
        <v/>
      </c>
      <c r="L219" s="14">
        <f>IF($A219="","",IF(F219&gt;=E219,"FECHADO","ABERTO"))</f>
        <v/>
      </c>
      <c r="M219" s="19">
        <f>IF($A219="","",K219-J219)</f>
        <v/>
      </c>
    </row>
    <row r="220">
      <c r="A220" s="21" t="n"/>
      <c r="B220" s="20">
        <f>IF(OR($A220="",COUNTIF(COMPRAS!$B:$B,$A220)=0),"",MINIFS(COMPRAS!$A:$A,COMPRAS!$B:$B,$A220))</f>
        <v/>
      </c>
      <c r="C220" s="20">
        <f>IF(OR($A220="",COUNTIF(VENDAS!$B:$B,$A220)=0),"",MAXIFS(VENDAS!$A:$A,VENDAS!$B:$B,$A220))</f>
        <v/>
      </c>
      <c r="D220" s="22">
        <f>IF(OR($A220="",B220=""),"",IF(C220="",TODAY()-B220,C220-B220))</f>
        <v/>
      </c>
      <c r="E220" s="22">
        <f>IF($A220="","",SUMIF(COMPRAS!$B:$B,$A220,COMPRAS!$E:$E))</f>
        <v/>
      </c>
      <c r="F220" s="22">
        <f>IF($A220="","",SUMIF(VENDAS!$B:$B,$A220,VENDAS!$D:$D))</f>
        <v/>
      </c>
      <c r="G220" s="23">
        <f>IF($A220="","",SUMIF(COMPRAS!$B:$B,$A220,COMPRAS!$F:$F))</f>
        <v/>
      </c>
      <c r="H220" s="23">
        <f>IF($A220="","",SUMIF(VENDAS!$B:$B,$A220,VENDAS!$E:$E))</f>
        <v/>
      </c>
      <c r="I220" s="23">
        <f>IF($A220="","",H220-G220)</f>
        <v/>
      </c>
      <c r="J220" s="26">
        <f>IF($A220="","",SUMIF(COMPRAS!$B:$B,$A220,COMPRAS!$L:$L))</f>
        <v/>
      </c>
      <c r="K220" s="26">
        <f>IF($A220="","",SUMIF(VENDAS!$B:$B,$A220,VENDAS!$K:$K))</f>
        <v/>
      </c>
      <c r="L220" s="21">
        <f>IF($A220="","",IF(F220&gt;=E220,"FECHADO","ABERTO"))</f>
        <v/>
      </c>
      <c r="M220" s="26">
        <f>IF($A220="","",K220-J220)</f>
        <v/>
      </c>
    </row>
    <row r="221">
      <c r="A221" s="14" t="n"/>
      <c r="B221" s="13">
        <f>IF(OR($A221="",COUNTIF(COMPRAS!$B:$B,$A221)=0),"",MINIFS(COMPRAS!$A:$A,COMPRAS!$B:$B,$A221))</f>
        <v/>
      </c>
      <c r="C221" s="13">
        <f>IF(OR($A221="",COUNTIF(VENDAS!$B:$B,$A221)=0),"",MAXIFS(VENDAS!$A:$A,VENDAS!$B:$B,$A221))</f>
        <v/>
      </c>
      <c r="D221" s="15">
        <f>IF(OR($A221="",B221=""),"",IF(C221="",TODAY()-B221,C221-B221))</f>
        <v/>
      </c>
      <c r="E221" s="15">
        <f>IF($A221="","",SUMIF(COMPRAS!$B:$B,$A221,COMPRAS!$E:$E))</f>
        <v/>
      </c>
      <c r="F221" s="15">
        <f>IF($A221="","",SUMIF(VENDAS!$B:$B,$A221,VENDAS!$D:$D))</f>
        <v/>
      </c>
      <c r="G221" s="16">
        <f>IF($A221="","",SUMIF(COMPRAS!$B:$B,$A221,COMPRAS!$F:$F))</f>
        <v/>
      </c>
      <c r="H221" s="16">
        <f>IF($A221="","",SUMIF(VENDAS!$B:$B,$A221,VENDAS!$E:$E))</f>
        <v/>
      </c>
      <c r="I221" s="16">
        <f>IF($A221="","",H221-G221)</f>
        <v/>
      </c>
      <c r="J221" s="19">
        <f>IF($A221="","",SUMIF(COMPRAS!$B:$B,$A221,COMPRAS!$L:$L))</f>
        <v/>
      </c>
      <c r="K221" s="19">
        <f>IF($A221="","",SUMIF(VENDAS!$B:$B,$A221,VENDAS!$K:$K))</f>
        <v/>
      </c>
      <c r="L221" s="14">
        <f>IF($A221="","",IF(F221&gt;=E221,"FECHADO","ABERTO"))</f>
        <v/>
      </c>
      <c r="M221" s="19">
        <f>IF($A221="","",K221-J221)</f>
        <v/>
      </c>
    </row>
    <row r="222">
      <c r="A222" s="21" t="n"/>
      <c r="B222" s="20">
        <f>IF(OR($A222="",COUNTIF(COMPRAS!$B:$B,$A222)=0),"",MINIFS(COMPRAS!$A:$A,COMPRAS!$B:$B,$A222))</f>
        <v/>
      </c>
      <c r="C222" s="20">
        <f>IF(OR($A222="",COUNTIF(VENDAS!$B:$B,$A222)=0),"",MAXIFS(VENDAS!$A:$A,VENDAS!$B:$B,$A222))</f>
        <v/>
      </c>
      <c r="D222" s="22">
        <f>IF(OR($A222="",B222=""),"",IF(C222="",TODAY()-B222,C222-B222))</f>
        <v/>
      </c>
      <c r="E222" s="22">
        <f>IF($A222="","",SUMIF(COMPRAS!$B:$B,$A222,COMPRAS!$E:$E))</f>
        <v/>
      </c>
      <c r="F222" s="22">
        <f>IF($A222="","",SUMIF(VENDAS!$B:$B,$A222,VENDAS!$D:$D))</f>
        <v/>
      </c>
      <c r="G222" s="23">
        <f>IF($A222="","",SUMIF(COMPRAS!$B:$B,$A222,COMPRAS!$F:$F))</f>
        <v/>
      </c>
      <c r="H222" s="23">
        <f>IF($A222="","",SUMIF(VENDAS!$B:$B,$A222,VENDAS!$E:$E))</f>
        <v/>
      </c>
      <c r="I222" s="23">
        <f>IF($A222="","",H222-G222)</f>
        <v/>
      </c>
      <c r="J222" s="26">
        <f>IF($A222="","",SUMIF(COMPRAS!$B:$B,$A222,COMPRAS!$L:$L))</f>
        <v/>
      </c>
      <c r="K222" s="26">
        <f>IF($A222="","",SUMIF(VENDAS!$B:$B,$A222,VENDAS!$K:$K))</f>
        <v/>
      </c>
      <c r="L222" s="21">
        <f>IF($A222="","",IF(F222&gt;=E222,"FECHADO","ABERTO"))</f>
        <v/>
      </c>
      <c r="M222" s="26">
        <f>IF($A222="","",K222-J222)</f>
        <v/>
      </c>
    </row>
    <row r="223">
      <c r="A223" s="14" t="n"/>
      <c r="B223" s="13">
        <f>IF(OR($A223="",COUNTIF(COMPRAS!$B:$B,$A223)=0),"",MINIFS(COMPRAS!$A:$A,COMPRAS!$B:$B,$A223))</f>
        <v/>
      </c>
      <c r="C223" s="13">
        <f>IF(OR($A223="",COUNTIF(VENDAS!$B:$B,$A223)=0),"",MAXIFS(VENDAS!$A:$A,VENDAS!$B:$B,$A223))</f>
        <v/>
      </c>
      <c r="D223" s="15">
        <f>IF(OR($A223="",B223=""),"",IF(C223="",TODAY()-B223,C223-B223))</f>
        <v/>
      </c>
      <c r="E223" s="15">
        <f>IF($A223="","",SUMIF(COMPRAS!$B:$B,$A223,COMPRAS!$E:$E))</f>
        <v/>
      </c>
      <c r="F223" s="15">
        <f>IF($A223="","",SUMIF(VENDAS!$B:$B,$A223,VENDAS!$D:$D))</f>
        <v/>
      </c>
      <c r="G223" s="16">
        <f>IF($A223="","",SUMIF(COMPRAS!$B:$B,$A223,COMPRAS!$F:$F))</f>
        <v/>
      </c>
      <c r="H223" s="16">
        <f>IF($A223="","",SUMIF(VENDAS!$B:$B,$A223,VENDAS!$E:$E))</f>
        <v/>
      </c>
      <c r="I223" s="16">
        <f>IF($A223="","",H223-G223)</f>
        <v/>
      </c>
      <c r="J223" s="19">
        <f>IF($A223="","",SUMIF(COMPRAS!$B:$B,$A223,COMPRAS!$L:$L))</f>
        <v/>
      </c>
      <c r="K223" s="19">
        <f>IF($A223="","",SUMIF(VENDAS!$B:$B,$A223,VENDAS!$K:$K))</f>
        <v/>
      </c>
      <c r="L223" s="14">
        <f>IF($A223="","",IF(F223&gt;=E223,"FECHADO","ABERTO"))</f>
        <v/>
      </c>
      <c r="M223" s="19">
        <f>IF($A223="","",K223-J223)</f>
        <v/>
      </c>
    </row>
    <row r="224">
      <c r="A224" s="21" t="n"/>
      <c r="B224" s="20">
        <f>IF(OR($A224="",COUNTIF(COMPRAS!$B:$B,$A224)=0),"",MINIFS(COMPRAS!$A:$A,COMPRAS!$B:$B,$A224))</f>
        <v/>
      </c>
      <c r="C224" s="20">
        <f>IF(OR($A224="",COUNTIF(VENDAS!$B:$B,$A224)=0),"",MAXIFS(VENDAS!$A:$A,VENDAS!$B:$B,$A224))</f>
        <v/>
      </c>
      <c r="D224" s="22">
        <f>IF(OR($A224="",B224=""),"",IF(C224="",TODAY()-B224,C224-B224))</f>
        <v/>
      </c>
      <c r="E224" s="22">
        <f>IF($A224="","",SUMIF(COMPRAS!$B:$B,$A224,COMPRAS!$E:$E))</f>
        <v/>
      </c>
      <c r="F224" s="22">
        <f>IF($A224="","",SUMIF(VENDAS!$B:$B,$A224,VENDAS!$D:$D))</f>
        <v/>
      </c>
      <c r="G224" s="23">
        <f>IF($A224="","",SUMIF(COMPRAS!$B:$B,$A224,COMPRAS!$F:$F))</f>
        <v/>
      </c>
      <c r="H224" s="23">
        <f>IF($A224="","",SUMIF(VENDAS!$B:$B,$A224,VENDAS!$E:$E))</f>
        <v/>
      </c>
      <c r="I224" s="23">
        <f>IF($A224="","",H224-G224)</f>
        <v/>
      </c>
      <c r="J224" s="26">
        <f>IF($A224="","",SUMIF(COMPRAS!$B:$B,$A224,COMPRAS!$L:$L))</f>
        <v/>
      </c>
      <c r="K224" s="26">
        <f>IF($A224="","",SUMIF(VENDAS!$B:$B,$A224,VENDAS!$K:$K))</f>
        <v/>
      </c>
      <c r="L224" s="21">
        <f>IF($A224="","",IF(F224&gt;=E224,"FECHADO","ABERTO"))</f>
        <v/>
      </c>
      <c r="M224" s="26">
        <f>IF($A224="","",K224-J224)</f>
        <v/>
      </c>
    </row>
    <row r="225">
      <c r="A225" s="14" t="n"/>
      <c r="B225" s="13">
        <f>IF(OR($A225="",COUNTIF(COMPRAS!$B:$B,$A225)=0),"",MINIFS(COMPRAS!$A:$A,COMPRAS!$B:$B,$A225))</f>
        <v/>
      </c>
      <c r="C225" s="13">
        <f>IF(OR($A225="",COUNTIF(VENDAS!$B:$B,$A225)=0),"",MAXIFS(VENDAS!$A:$A,VENDAS!$B:$B,$A225))</f>
        <v/>
      </c>
      <c r="D225" s="15">
        <f>IF(OR($A225="",B225=""),"",IF(C225="",TODAY()-B225,C225-B225))</f>
        <v/>
      </c>
      <c r="E225" s="15">
        <f>IF($A225="","",SUMIF(COMPRAS!$B:$B,$A225,COMPRAS!$E:$E))</f>
        <v/>
      </c>
      <c r="F225" s="15">
        <f>IF($A225="","",SUMIF(VENDAS!$B:$B,$A225,VENDAS!$D:$D))</f>
        <v/>
      </c>
      <c r="G225" s="16">
        <f>IF($A225="","",SUMIF(COMPRAS!$B:$B,$A225,COMPRAS!$F:$F))</f>
        <v/>
      </c>
      <c r="H225" s="16">
        <f>IF($A225="","",SUMIF(VENDAS!$B:$B,$A225,VENDAS!$E:$E))</f>
        <v/>
      </c>
      <c r="I225" s="16">
        <f>IF($A225="","",H225-G225)</f>
        <v/>
      </c>
      <c r="J225" s="19">
        <f>IF($A225="","",SUMIF(COMPRAS!$B:$B,$A225,COMPRAS!$L:$L))</f>
        <v/>
      </c>
      <c r="K225" s="19">
        <f>IF($A225="","",SUMIF(VENDAS!$B:$B,$A225,VENDAS!$K:$K))</f>
        <v/>
      </c>
      <c r="L225" s="14">
        <f>IF($A225="","",IF(F225&gt;=E225,"FECHADO","ABERTO"))</f>
        <v/>
      </c>
      <c r="M225" s="19">
        <f>IF($A225="","",K225-J225)</f>
        <v/>
      </c>
    </row>
    <row r="226">
      <c r="A226" s="21" t="n"/>
      <c r="B226" s="20">
        <f>IF(OR($A226="",COUNTIF(COMPRAS!$B:$B,$A226)=0),"",MINIFS(COMPRAS!$A:$A,COMPRAS!$B:$B,$A226))</f>
        <v/>
      </c>
      <c r="C226" s="20">
        <f>IF(OR($A226="",COUNTIF(VENDAS!$B:$B,$A226)=0),"",MAXIFS(VENDAS!$A:$A,VENDAS!$B:$B,$A226))</f>
        <v/>
      </c>
      <c r="D226" s="22">
        <f>IF(OR($A226="",B226=""),"",IF(C226="",TODAY()-B226,C226-B226))</f>
        <v/>
      </c>
      <c r="E226" s="22">
        <f>IF($A226="","",SUMIF(COMPRAS!$B:$B,$A226,COMPRAS!$E:$E))</f>
        <v/>
      </c>
      <c r="F226" s="22">
        <f>IF($A226="","",SUMIF(VENDAS!$B:$B,$A226,VENDAS!$D:$D))</f>
        <v/>
      </c>
      <c r="G226" s="23">
        <f>IF($A226="","",SUMIF(COMPRAS!$B:$B,$A226,COMPRAS!$F:$F))</f>
        <v/>
      </c>
      <c r="H226" s="23">
        <f>IF($A226="","",SUMIF(VENDAS!$B:$B,$A226,VENDAS!$E:$E))</f>
        <v/>
      </c>
      <c r="I226" s="23">
        <f>IF($A226="","",H226-G226)</f>
        <v/>
      </c>
      <c r="J226" s="26">
        <f>IF($A226="","",SUMIF(COMPRAS!$B:$B,$A226,COMPRAS!$L:$L))</f>
        <v/>
      </c>
      <c r="K226" s="26">
        <f>IF($A226="","",SUMIF(VENDAS!$B:$B,$A226,VENDAS!$K:$K))</f>
        <v/>
      </c>
      <c r="L226" s="21">
        <f>IF($A226="","",IF(F226&gt;=E226,"FECHADO","ABERTO"))</f>
        <v/>
      </c>
      <c r="M226" s="26">
        <f>IF($A226="","",K226-J226)</f>
        <v/>
      </c>
    </row>
    <row r="227">
      <c r="A227" s="14" t="n"/>
      <c r="B227" s="13">
        <f>IF(OR($A227="",COUNTIF(COMPRAS!$B:$B,$A227)=0),"",MINIFS(COMPRAS!$A:$A,COMPRAS!$B:$B,$A227))</f>
        <v/>
      </c>
      <c r="C227" s="13">
        <f>IF(OR($A227="",COUNTIF(VENDAS!$B:$B,$A227)=0),"",MAXIFS(VENDAS!$A:$A,VENDAS!$B:$B,$A227))</f>
        <v/>
      </c>
      <c r="D227" s="15">
        <f>IF(OR($A227="",B227=""),"",IF(C227="",TODAY()-B227,C227-B227))</f>
        <v/>
      </c>
      <c r="E227" s="15">
        <f>IF($A227="","",SUMIF(COMPRAS!$B:$B,$A227,COMPRAS!$E:$E))</f>
        <v/>
      </c>
      <c r="F227" s="15">
        <f>IF($A227="","",SUMIF(VENDAS!$B:$B,$A227,VENDAS!$D:$D))</f>
        <v/>
      </c>
      <c r="G227" s="16">
        <f>IF($A227="","",SUMIF(COMPRAS!$B:$B,$A227,COMPRAS!$F:$F))</f>
        <v/>
      </c>
      <c r="H227" s="16">
        <f>IF($A227="","",SUMIF(VENDAS!$B:$B,$A227,VENDAS!$E:$E))</f>
        <v/>
      </c>
      <c r="I227" s="16">
        <f>IF($A227="","",H227-G227)</f>
        <v/>
      </c>
      <c r="J227" s="19">
        <f>IF($A227="","",SUMIF(COMPRAS!$B:$B,$A227,COMPRAS!$L:$L))</f>
        <v/>
      </c>
      <c r="K227" s="19">
        <f>IF($A227="","",SUMIF(VENDAS!$B:$B,$A227,VENDAS!$K:$K))</f>
        <v/>
      </c>
      <c r="L227" s="14">
        <f>IF($A227="","",IF(F227&gt;=E227,"FECHADO","ABERTO"))</f>
        <v/>
      </c>
      <c r="M227" s="19">
        <f>IF($A227="","",K227-J227)</f>
        <v/>
      </c>
    </row>
    <row r="228">
      <c r="A228" s="21" t="n"/>
      <c r="B228" s="20">
        <f>IF(OR($A228="",COUNTIF(COMPRAS!$B:$B,$A228)=0),"",MINIFS(COMPRAS!$A:$A,COMPRAS!$B:$B,$A228))</f>
        <v/>
      </c>
      <c r="C228" s="20">
        <f>IF(OR($A228="",COUNTIF(VENDAS!$B:$B,$A228)=0),"",MAXIFS(VENDAS!$A:$A,VENDAS!$B:$B,$A228))</f>
        <v/>
      </c>
      <c r="D228" s="22">
        <f>IF(OR($A228="",B228=""),"",IF(C228="",TODAY()-B228,C228-B228))</f>
        <v/>
      </c>
      <c r="E228" s="22">
        <f>IF($A228="","",SUMIF(COMPRAS!$B:$B,$A228,COMPRAS!$E:$E))</f>
        <v/>
      </c>
      <c r="F228" s="22">
        <f>IF($A228="","",SUMIF(VENDAS!$B:$B,$A228,VENDAS!$D:$D))</f>
        <v/>
      </c>
      <c r="G228" s="23">
        <f>IF($A228="","",SUMIF(COMPRAS!$B:$B,$A228,COMPRAS!$F:$F))</f>
        <v/>
      </c>
      <c r="H228" s="23">
        <f>IF($A228="","",SUMIF(VENDAS!$B:$B,$A228,VENDAS!$E:$E))</f>
        <v/>
      </c>
      <c r="I228" s="23">
        <f>IF($A228="","",H228-G228)</f>
        <v/>
      </c>
      <c r="J228" s="26">
        <f>IF($A228="","",SUMIF(COMPRAS!$B:$B,$A228,COMPRAS!$L:$L))</f>
        <v/>
      </c>
      <c r="K228" s="26">
        <f>IF($A228="","",SUMIF(VENDAS!$B:$B,$A228,VENDAS!$K:$K))</f>
        <v/>
      </c>
      <c r="L228" s="21">
        <f>IF($A228="","",IF(F228&gt;=E228,"FECHADO","ABERTO"))</f>
        <v/>
      </c>
      <c r="M228" s="26">
        <f>IF($A228="","",K228-J228)</f>
        <v/>
      </c>
    </row>
    <row r="229">
      <c r="A229" s="14" t="n"/>
      <c r="B229" s="13">
        <f>IF(OR($A229="",COUNTIF(COMPRAS!$B:$B,$A229)=0),"",MINIFS(COMPRAS!$A:$A,COMPRAS!$B:$B,$A229))</f>
        <v/>
      </c>
      <c r="C229" s="13">
        <f>IF(OR($A229="",COUNTIF(VENDAS!$B:$B,$A229)=0),"",MAXIFS(VENDAS!$A:$A,VENDAS!$B:$B,$A229))</f>
        <v/>
      </c>
      <c r="D229" s="15">
        <f>IF(OR($A229="",B229=""),"",IF(C229="",TODAY()-B229,C229-B229))</f>
        <v/>
      </c>
      <c r="E229" s="15">
        <f>IF($A229="","",SUMIF(COMPRAS!$B:$B,$A229,COMPRAS!$E:$E))</f>
        <v/>
      </c>
      <c r="F229" s="15">
        <f>IF($A229="","",SUMIF(VENDAS!$B:$B,$A229,VENDAS!$D:$D))</f>
        <v/>
      </c>
      <c r="G229" s="16">
        <f>IF($A229="","",SUMIF(COMPRAS!$B:$B,$A229,COMPRAS!$F:$F))</f>
        <v/>
      </c>
      <c r="H229" s="16">
        <f>IF($A229="","",SUMIF(VENDAS!$B:$B,$A229,VENDAS!$E:$E))</f>
        <v/>
      </c>
      <c r="I229" s="16">
        <f>IF($A229="","",H229-G229)</f>
        <v/>
      </c>
      <c r="J229" s="19">
        <f>IF($A229="","",SUMIF(COMPRAS!$B:$B,$A229,COMPRAS!$L:$L))</f>
        <v/>
      </c>
      <c r="K229" s="19">
        <f>IF($A229="","",SUMIF(VENDAS!$B:$B,$A229,VENDAS!$K:$K))</f>
        <v/>
      </c>
      <c r="L229" s="14">
        <f>IF($A229="","",IF(F229&gt;=E229,"FECHADO","ABERTO"))</f>
        <v/>
      </c>
      <c r="M229" s="19">
        <f>IF($A229="","",K229-J229)</f>
        <v/>
      </c>
    </row>
    <row r="230">
      <c r="A230" s="21" t="n"/>
      <c r="B230" s="20">
        <f>IF(OR($A230="",COUNTIF(COMPRAS!$B:$B,$A230)=0),"",MINIFS(COMPRAS!$A:$A,COMPRAS!$B:$B,$A230))</f>
        <v/>
      </c>
      <c r="C230" s="20">
        <f>IF(OR($A230="",COUNTIF(VENDAS!$B:$B,$A230)=0),"",MAXIFS(VENDAS!$A:$A,VENDAS!$B:$B,$A230))</f>
        <v/>
      </c>
      <c r="D230" s="22">
        <f>IF(OR($A230="",B230=""),"",IF(C230="",TODAY()-B230,C230-B230))</f>
        <v/>
      </c>
      <c r="E230" s="22">
        <f>IF($A230="","",SUMIF(COMPRAS!$B:$B,$A230,COMPRAS!$E:$E))</f>
        <v/>
      </c>
      <c r="F230" s="22">
        <f>IF($A230="","",SUMIF(VENDAS!$B:$B,$A230,VENDAS!$D:$D))</f>
        <v/>
      </c>
      <c r="G230" s="23">
        <f>IF($A230="","",SUMIF(COMPRAS!$B:$B,$A230,COMPRAS!$F:$F))</f>
        <v/>
      </c>
      <c r="H230" s="23">
        <f>IF($A230="","",SUMIF(VENDAS!$B:$B,$A230,VENDAS!$E:$E))</f>
        <v/>
      </c>
      <c r="I230" s="23">
        <f>IF($A230="","",H230-G230)</f>
        <v/>
      </c>
      <c r="J230" s="26">
        <f>IF($A230="","",SUMIF(COMPRAS!$B:$B,$A230,COMPRAS!$L:$L))</f>
        <v/>
      </c>
      <c r="K230" s="26">
        <f>IF($A230="","",SUMIF(VENDAS!$B:$B,$A230,VENDAS!$K:$K))</f>
        <v/>
      </c>
      <c r="L230" s="21">
        <f>IF($A230="","",IF(F230&gt;=E230,"FECHADO","ABERTO"))</f>
        <v/>
      </c>
      <c r="M230" s="26">
        <f>IF($A230="","",K230-J230)</f>
        <v/>
      </c>
    </row>
    <row r="231">
      <c r="A231" s="14" t="n"/>
      <c r="B231" s="13">
        <f>IF(OR($A231="",COUNTIF(COMPRAS!$B:$B,$A231)=0),"",MINIFS(COMPRAS!$A:$A,COMPRAS!$B:$B,$A231))</f>
        <v/>
      </c>
      <c r="C231" s="13">
        <f>IF(OR($A231="",COUNTIF(VENDAS!$B:$B,$A231)=0),"",MAXIFS(VENDAS!$A:$A,VENDAS!$B:$B,$A231))</f>
        <v/>
      </c>
      <c r="D231" s="15">
        <f>IF(OR($A231="",B231=""),"",IF(C231="",TODAY()-B231,C231-B231))</f>
        <v/>
      </c>
      <c r="E231" s="15">
        <f>IF($A231="","",SUMIF(COMPRAS!$B:$B,$A231,COMPRAS!$E:$E))</f>
        <v/>
      </c>
      <c r="F231" s="15">
        <f>IF($A231="","",SUMIF(VENDAS!$B:$B,$A231,VENDAS!$D:$D))</f>
        <v/>
      </c>
      <c r="G231" s="16">
        <f>IF($A231="","",SUMIF(COMPRAS!$B:$B,$A231,COMPRAS!$F:$F))</f>
        <v/>
      </c>
      <c r="H231" s="16">
        <f>IF($A231="","",SUMIF(VENDAS!$B:$B,$A231,VENDAS!$E:$E))</f>
        <v/>
      </c>
      <c r="I231" s="16">
        <f>IF($A231="","",H231-G231)</f>
        <v/>
      </c>
      <c r="J231" s="19">
        <f>IF($A231="","",SUMIF(COMPRAS!$B:$B,$A231,COMPRAS!$L:$L))</f>
        <v/>
      </c>
      <c r="K231" s="19">
        <f>IF($A231="","",SUMIF(VENDAS!$B:$B,$A231,VENDAS!$K:$K))</f>
        <v/>
      </c>
      <c r="L231" s="14">
        <f>IF($A231="","",IF(F231&gt;=E231,"FECHADO","ABERTO"))</f>
        <v/>
      </c>
      <c r="M231" s="19">
        <f>IF($A231="","",K231-J231)</f>
        <v/>
      </c>
    </row>
    <row r="232">
      <c r="A232" s="21" t="n"/>
      <c r="B232" s="20">
        <f>IF(OR($A232="",COUNTIF(COMPRAS!$B:$B,$A232)=0),"",MINIFS(COMPRAS!$A:$A,COMPRAS!$B:$B,$A232))</f>
        <v/>
      </c>
      <c r="C232" s="20">
        <f>IF(OR($A232="",COUNTIF(VENDAS!$B:$B,$A232)=0),"",MAXIFS(VENDAS!$A:$A,VENDAS!$B:$B,$A232))</f>
        <v/>
      </c>
      <c r="D232" s="22">
        <f>IF(OR($A232="",B232=""),"",IF(C232="",TODAY()-B232,C232-B232))</f>
        <v/>
      </c>
      <c r="E232" s="22">
        <f>IF($A232="","",SUMIF(COMPRAS!$B:$B,$A232,COMPRAS!$E:$E))</f>
        <v/>
      </c>
      <c r="F232" s="22">
        <f>IF($A232="","",SUMIF(VENDAS!$B:$B,$A232,VENDAS!$D:$D))</f>
        <v/>
      </c>
      <c r="G232" s="23">
        <f>IF($A232="","",SUMIF(COMPRAS!$B:$B,$A232,COMPRAS!$F:$F))</f>
        <v/>
      </c>
      <c r="H232" s="23">
        <f>IF($A232="","",SUMIF(VENDAS!$B:$B,$A232,VENDAS!$E:$E))</f>
        <v/>
      </c>
      <c r="I232" s="23">
        <f>IF($A232="","",H232-G232)</f>
        <v/>
      </c>
      <c r="J232" s="26">
        <f>IF($A232="","",SUMIF(COMPRAS!$B:$B,$A232,COMPRAS!$L:$L))</f>
        <v/>
      </c>
      <c r="K232" s="26">
        <f>IF($A232="","",SUMIF(VENDAS!$B:$B,$A232,VENDAS!$K:$K))</f>
        <v/>
      </c>
      <c r="L232" s="21">
        <f>IF($A232="","",IF(F232&gt;=E232,"FECHADO","ABERTO"))</f>
        <v/>
      </c>
      <c r="M232" s="26">
        <f>IF($A232="","",K232-J232)</f>
        <v/>
      </c>
    </row>
    <row r="233">
      <c r="A233" s="14" t="n"/>
      <c r="B233" s="13">
        <f>IF(OR($A233="",COUNTIF(COMPRAS!$B:$B,$A233)=0),"",MINIFS(COMPRAS!$A:$A,COMPRAS!$B:$B,$A233))</f>
        <v/>
      </c>
      <c r="C233" s="13">
        <f>IF(OR($A233="",COUNTIF(VENDAS!$B:$B,$A233)=0),"",MAXIFS(VENDAS!$A:$A,VENDAS!$B:$B,$A233))</f>
        <v/>
      </c>
      <c r="D233" s="15">
        <f>IF(OR($A233="",B233=""),"",IF(C233="",TODAY()-B233,C233-B233))</f>
        <v/>
      </c>
      <c r="E233" s="15">
        <f>IF($A233="","",SUMIF(COMPRAS!$B:$B,$A233,COMPRAS!$E:$E))</f>
        <v/>
      </c>
      <c r="F233" s="15">
        <f>IF($A233="","",SUMIF(VENDAS!$B:$B,$A233,VENDAS!$D:$D))</f>
        <v/>
      </c>
      <c r="G233" s="16">
        <f>IF($A233="","",SUMIF(COMPRAS!$B:$B,$A233,COMPRAS!$F:$F))</f>
        <v/>
      </c>
      <c r="H233" s="16">
        <f>IF($A233="","",SUMIF(VENDAS!$B:$B,$A233,VENDAS!$E:$E))</f>
        <v/>
      </c>
      <c r="I233" s="16">
        <f>IF($A233="","",H233-G233)</f>
        <v/>
      </c>
      <c r="J233" s="19">
        <f>IF($A233="","",SUMIF(COMPRAS!$B:$B,$A233,COMPRAS!$L:$L))</f>
        <v/>
      </c>
      <c r="K233" s="19">
        <f>IF($A233="","",SUMIF(VENDAS!$B:$B,$A233,VENDAS!$K:$K))</f>
        <v/>
      </c>
      <c r="L233" s="14">
        <f>IF($A233="","",IF(F233&gt;=E233,"FECHADO","ABERTO"))</f>
        <v/>
      </c>
      <c r="M233" s="19">
        <f>IF($A233="","",K233-J233)</f>
        <v/>
      </c>
    </row>
    <row r="234">
      <c r="A234" s="21" t="n"/>
      <c r="B234" s="20">
        <f>IF(OR($A234="",COUNTIF(COMPRAS!$B:$B,$A234)=0),"",MINIFS(COMPRAS!$A:$A,COMPRAS!$B:$B,$A234))</f>
        <v/>
      </c>
      <c r="C234" s="20">
        <f>IF(OR($A234="",COUNTIF(VENDAS!$B:$B,$A234)=0),"",MAXIFS(VENDAS!$A:$A,VENDAS!$B:$B,$A234))</f>
        <v/>
      </c>
      <c r="D234" s="22">
        <f>IF(OR($A234="",B234=""),"",IF(C234="",TODAY()-B234,C234-B234))</f>
        <v/>
      </c>
      <c r="E234" s="22">
        <f>IF($A234="","",SUMIF(COMPRAS!$B:$B,$A234,COMPRAS!$E:$E))</f>
        <v/>
      </c>
      <c r="F234" s="22">
        <f>IF($A234="","",SUMIF(VENDAS!$B:$B,$A234,VENDAS!$D:$D))</f>
        <v/>
      </c>
      <c r="G234" s="23">
        <f>IF($A234="","",SUMIF(COMPRAS!$B:$B,$A234,COMPRAS!$F:$F))</f>
        <v/>
      </c>
      <c r="H234" s="23">
        <f>IF($A234="","",SUMIF(VENDAS!$B:$B,$A234,VENDAS!$E:$E))</f>
        <v/>
      </c>
      <c r="I234" s="23">
        <f>IF($A234="","",H234-G234)</f>
        <v/>
      </c>
      <c r="J234" s="26">
        <f>IF($A234="","",SUMIF(COMPRAS!$B:$B,$A234,COMPRAS!$L:$L))</f>
        <v/>
      </c>
      <c r="K234" s="26">
        <f>IF($A234="","",SUMIF(VENDAS!$B:$B,$A234,VENDAS!$K:$K))</f>
        <v/>
      </c>
      <c r="L234" s="21">
        <f>IF($A234="","",IF(F234&gt;=E234,"FECHADO","ABERTO"))</f>
        <v/>
      </c>
      <c r="M234" s="26">
        <f>IF($A234="","",K234-J234)</f>
        <v/>
      </c>
    </row>
    <row r="235">
      <c r="A235" s="14" t="n"/>
      <c r="B235" s="13">
        <f>IF(OR($A235="",COUNTIF(COMPRAS!$B:$B,$A235)=0),"",MINIFS(COMPRAS!$A:$A,COMPRAS!$B:$B,$A235))</f>
        <v/>
      </c>
      <c r="C235" s="13">
        <f>IF(OR($A235="",COUNTIF(VENDAS!$B:$B,$A235)=0),"",MAXIFS(VENDAS!$A:$A,VENDAS!$B:$B,$A235))</f>
        <v/>
      </c>
      <c r="D235" s="15">
        <f>IF(OR($A235="",B235=""),"",IF(C235="",TODAY()-B235,C235-B235))</f>
        <v/>
      </c>
      <c r="E235" s="15">
        <f>IF($A235="","",SUMIF(COMPRAS!$B:$B,$A235,COMPRAS!$E:$E))</f>
        <v/>
      </c>
      <c r="F235" s="15">
        <f>IF($A235="","",SUMIF(VENDAS!$B:$B,$A235,VENDAS!$D:$D))</f>
        <v/>
      </c>
      <c r="G235" s="16">
        <f>IF($A235="","",SUMIF(COMPRAS!$B:$B,$A235,COMPRAS!$F:$F))</f>
        <v/>
      </c>
      <c r="H235" s="16">
        <f>IF($A235="","",SUMIF(VENDAS!$B:$B,$A235,VENDAS!$E:$E))</f>
        <v/>
      </c>
      <c r="I235" s="16">
        <f>IF($A235="","",H235-G235)</f>
        <v/>
      </c>
      <c r="J235" s="19">
        <f>IF($A235="","",SUMIF(COMPRAS!$B:$B,$A235,COMPRAS!$L:$L))</f>
        <v/>
      </c>
      <c r="K235" s="19">
        <f>IF($A235="","",SUMIF(VENDAS!$B:$B,$A235,VENDAS!$K:$K))</f>
        <v/>
      </c>
      <c r="L235" s="14">
        <f>IF($A235="","",IF(F235&gt;=E235,"FECHADO","ABERTO"))</f>
        <v/>
      </c>
      <c r="M235" s="19">
        <f>IF($A235="","",K235-J235)</f>
        <v/>
      </c>
    </row>
    <row r="236">
      <c r="A236" s="21" t="n"/>
      <c r="B236" s="20">
        <f>IF(OR($A236="",COUNTIF(COMPRAS!$B:$B,$A236)=0),"",MINIFS(COMPRAS!$A:$A,COMPRAS!$B:$B,$A236))</f>
        <v/>
      </c>
      <c r="C236" s="20">
        <f>IF(OR($A236="",COUNTIF(VENDAS!$B:$B,$A236)=0),"",MAXIFS(VENDAS!$A:$A,VENDAS!$B:$B,$A236))</f>
        <v/>
      </c>
      <c r="D236" s="22">
        <f>IF(OR($A236="",B236=""),"",IF(C236="",TODAY()-B236,C236-B236))</f>
        <v/>
      </c>
      <c r="E236" s="22">
        <f>IF($A236="","",SUMIF(COMPRAS!$B:$B,$A236,COMPRAS!$E:$E))</f>
        <v/>
      </c>
      <c r="F236" s="22">
        <f>IF($A236="","",SUMIF(VENDAS!$B:$B,$A236,VENDAS!$D:$D))</f>
        <v/>
      </c>
      <c r="G236" s="23">
        <f>IF($A236="","",SUMIF(COMPRAS!$B:$B,$A236,COMPRAS!$F:$F))</f>
        <v/>
      </c>
      <c r="H236" s="23">
        <f>IF($A236="","",SUMIF(VENDAS!$B:$B,$A236,VENDAS!$E:$E))</f>
        <v/>
      </c>
      <c r="I236" s="23">
        <f>IF($A236="","",H236-G236)</f>
        <v/>
      </c>
      <c r="J236" s="26">
        <f>IF($A236="","",SUMIF(COMPRAS!$B:$B,$A236,COMPRAS!$L:$L))</f>
        <v/>
      </c>
      <c r="K236" s="26">
        <f>IF($A236="","",SUMIF(VENDAS!$B:$B,$A236,VENDAS!$K:$K))</f>
        <v/>
      </c>
      <c r="L236" s="21">
        <f>IF($A236="","",IF(F236&gt;=E236,"FECHADO","ABERTO"))</f>
        <v/>
      </c>
      <c r="M236" s="26">
        <f>IF($A236="","",K236-J236)</f>
        <v/>
      </c>
    </row>
    <row r="237">
      <c r="A237" s="14" t="n"/>
      <c r="B237" s="13">
        <f>IF(OR($A237="",COUNTIF(COMPRAS!$B:$B,$A237)=0),"",MINIFS(COMPRAS!$A:$A,COMPRAS!$B:$B,$A237))</f>
        <v/>
      </c>
      <c r="C237" s="13">
        <f>IF(OR($A237="",COUNTIF(VENDAS!$B:$B,$A237)=0),"",MAXIFS(VENDAS!$A:$A,VENDAS!$B:$B,$A237))</f>
        <v/>
      </c>
      <c r="D237" s="15">
        <f>IF(OR($A237="",B237=""),"",IF(C237="",TODAY()-B237,C237-B237))</f>
        <v/>
      </c>
      <c r="E237" s="15">
        <f>IF($A237="","",SUMIF(COMPRAS!$B:$B,$A237,COMPRAS!$E:$E))</f>
        <v/>
      </c>
      <c r="F237" s="15">
        <f>IF($A237="","",SUMIF(VENDAS!$B:$B,$A237,VENDAS!$D:$D))</f>
        <v/>
      </c>
      <c r="G237" s="16">
        <f>IF($A237="","",SUMIF(COMPRAS!$B:$B,$A237,COMPRAS!$F:$F))</f>
        <v/>
      </c>
      <c r="H237" s="16">
        <f>IF($A237="","",SUMIF(VENDAS!$B:$B,$A237,VENDAS!$E:$E))</f>
        <v/>
      </c>
      <c r="I237" s="16">
        <f>IF($A237="","",H237-G237)</f>
        <v/>
      </c>
      <c r="J237" s="19">
        <f>IF($A237="","",SUMIF(COMPRAS!$B:$B,$A237,COMPRAS!$L:$L))</f>
        <v/>
      </c>
      <c r="K237" s="19">
        <f>IF($A237="","",SUMIF(VENDAS!$B:$B,$A237,VENDAS!$K:$K))</f>
        <v/>
      </c>
      <c r="L237" s="14">
        <f>IF($A237="","",IF(F237&gt;=E237,"FECHADO","ABERTO"))</f>
        <v/>
      </c>
      <c r="M237" s="19">
        <f>IF($A237="","",K237-J237)</f>
        <v/>
      </c>
    </row>
    <row r="238">
      <c r="A238" s="21" t="n"/>
      <c r="B238" s="20">
        <f>IF(OR($A238="",COUNTIF(COMPRAS!$B:$B,$A238)=0),"",MINIFS(COMPRAS!$A:$A,COMPRAS!$B:$B,$A238))</f>
        <v/>
      </c>
      <c r="C238" s="20">
        <f>IF(OR($A238="",COUNTIF(VENDAS!$B:$B,$A238)=0),"",MAXIFS(VENDAS!$A:$A,VENDAS!$B:$B,$A238))</f>
        <v/>
      </c>
      <c r="D238" s="22">
        <f>IF(OR($A238="",B238=""),"",IF(C238="",TODAY()-B238,C238-B238))</f>
        <v/>
      </c>
      <c r="E238" s="22">
        <f>IF($A238="","",SUMIF(COMPRAS!$B:$B,$A238,COMPRAS!$E:$E))</f>
        <v/>
      </c>
      <c r="F238" s="22">
        <f>IF($A238="","",SUMIF(VENDAS!$B:$B,$A238,VENDAS!$D:$D))</f>
        <v/>
      </c>
      <c r="G238" s="23">
        <f>IF($A238="","",SUMIF(COMPRAS!$B:$B,$A238,COMPRAS!$F:$F))</f>
        <v/>
      </c>
      <c r="H238" s="23">
        <f>IF($A238="","",SUMIF(VENDAS!$B:$B,$A238,VENDAS!$E:$E))</f>
        <v/>
      </c>
      <c r="I238" s="23">
        <f>IF($A238="","",H238-G238)</f>
        <v/>
      </c>
      <c r="J238" s="26">
        <f>IF($A238="","",SUMIF(COMPRAS!$B:$B,$A238,COMPRAS!$L:$L))</f>
        <v/>
      </c>
      <c r="K238" s="26">
        <f>IF($A238="","",SUMIF(VENDAS!$B:$B,$A238,VENDAS!$K:$K))</f>
        <v/>
      </c>
      <c r="L238" s="21">
        <f>IF($A238="","",IF(F238&gt;=E238,"FECHADO","ABERTO"))</f>
        <v/>
      </c>
      <c r="M238" s="26">
        <f>IF($A238="","",K238-J238)</f>
        <v/>
      </c>
    </row>
    <row r="239">
      <c r="A239" s="14" t="n"/>
      <c r="B239" s="13">
        <f>IF(OR($A239="",COUNTIF(COMPRAS!$B:$B,$A239)=0),"",MINIFS(COMPRAS!$A:$A,COMPRAS!$B:$B,$A239))</f>
        <v/>
      </c>
      <c r="C239" s="13">
        <f>IF(OR($A239="",COUNTIF(VENDAS!$B:$B,$A239)=0),"",MAXIFS(VENDAS!$A:$A,VENDAS!$B:$B,$A239))</f>
        <v/>
      </c>
      <c r="D239" s="15">
        <f>IF(OR($A239="",B239=""),"",IF(C239="",TODAY()-B239,C239-B239))</f>
        <v/>
      </c>
      <c r="E239" s="15">
        <f>IF($A239="","",SUMIF(COMPRAS!$B:$B,$A239,COMPRAS!$E:$E))</f>
        <v/>
      </c>
      <c r="F239" s="15">
        <f>IF($A239="","",SUMIF(VENDAS!$B:$B,$A239,VENDAS!$D:$D))</f>
        <v/>
      </c>
      <c r="G239" s="16">
        <f>IF($A239="","",SUMIF(COMPRAS!$B:$B,$A239,COMPRAS!$F:$F))</f>
        <v/>
      </c>
      <c r="H239" s="16">
        <f>IF($A239="","",SUMIF(VENDAS!$B:$B,$A239,VENDAS!$E:$E))</f>
        <v/>
      </c>
      <c r="I239" s="16">
        <f>IF($A239="","",H239-G239)</f>
        <v/>
      </c>
      <c r="J239" s="19">
        <f>IF($A239="","",SUMIF(COMPRAS!$B:$B,$A239,COMPRAS!$L:$L))</f>
        <v/>
      </c>
      <c r="K239" s="19">
        <f>IF($A239="","",SUMIF(VENDAS!$B:$B,$A239,VENDAS!$K:$K))</f>
        <v/>
      </c>
      <c r="L239" s="14">
        <f>IF($A239="","",IF(F239&gt;=E239,"FECHADO","ABERTO"))</f>
        <v/>
      </c>
      <c r="M239" s="19">
        <f>IF($A239="","",K239-J239)</f>
        <v/>
      </c>
    </row>
    <row r="240">
      <c r="A240" s="21" t="n"/>
      <c r="B240" s="20">
        <f>IF(OR($A240="",COUNTIF(COMPRAS!$B:$B,$A240)=0),"",MINIFS(COMPRAS!$A:$A,COMPRAS!$B:$B,$A240))</f>
        <v/>
      </c>
      <c r="C240" s="20">
        <f>IF(OR($A240="",COUNTIF(VENDAS!$B:$B,$A240)=0),"",MAXIFS(VENDAS!$A:$A,VENDAS!$B:$B,$A240))</f>
        <v/>
      </c>
      <c r="D240" s="22">
        <f>IF(OR($A240="",B240=""),"",IF(C240="",TODAY()-B240,C240-B240))</f>
        <v/>
      </c>
      <c r="E240" s="22">
        <f>IF($A240="","",SUMIF(COMPRAS!$B:$B,$A240,COMPRAS!$E:$E))</f>
        <v/>
      </c>
      <c r="F240" s="22">
        <f>IF($A240="","",SUMIF(VENDAS!$B:$B,$A240,VENDAS!$D:$D))</f>
        <v/>
      </c>
      <c r="G240" s="23">
        <f>IF($A240="","",SUMIF(COMPRAS!$B:$B,$A240,COMPRAS!$F:$F))</f>
        <v/>
      </c>
      <c r="H240" s="23">
        <f>IF($A240="","",SUMIF(VENDAS!$B:$B,$A240,VENDAS!$E:$E))</f>
        <v/>
      </c>
      <c r="I240" s="23">
        <f>IF($A240="","",H240-G240)</f>
        <v/>
      </c>
      <c r="J240" s="26">
        <f>IF($A240="","",SUMIF(COMPRAS!$B:$B,$A240,COMPRAS!$L:$L))</f>
        <v/>
      </c>
      <c r="K240" s="26">
        <f>IF($A240="","",SUMIF(VENDAS!$B:$B,$A240,VENDAS!$K:$K))</f>
        <v/>
      </c>
      <c r="L240" s="21">
        <f>IF($A240="","",IF(F240&gt;=E240,"FECHADO","ABERTO"))</f>
        <v/>
      </c>
      <c r="M240" s="26">
        <f>IF($A240="","",K240-J240)</f>
        <v/>
      </c>
    </row>
    <row r="241">
      <c r="A241" s="14" t="n"/>
      <c r="B241" s="13">
        <f>IF(OR($A241="",COUNTIF(COMPRAS!$B:$B,$A241)=0),"",MINIFS(COMPRAS!$A:$A,COMPRAS!$B:$B,$A241))</f>
        <v/>
      </c>
      <c r="C241" s="13">
        <f>IF(OR($A241="",COUNTIF(VENDAS!$B:$B,$A241)=0),"",MAXIFS(VENDAS!$A:$A,VENDAS!$B:$B,$A241))</f>
        <v/>
      </c>
      <c r="D241" s="15">
        <f>IF(OR($A241="",B241=""),"",IF(C241="",TODAY()-B241,C241-B241))</f>
        <v/>
      </c>
      <c r="E241" s="15">
        <f>IF($A241="","",SUMIF(COMPRAS!$B:$B,$A241,COMPRAS!$E:$E))</f>
        <v/>
      </c>
      <c r="F241" s="15">
        <f>IF($A241="","",SUMIF(VENDAS!$B:$B,$A241,VENDAS!$D:$D))</f>
        <v/>
      </c>
      <c r="G241" s="16">
        <f>IF($A241="","",SUMIF(COMPRAS!$B:$B,$A241,COMPRAS!$F:$F))</f>
        <v/>
      </c>
      <c r="H241" s="16">
        <f>IF($A241="","",SUMIF(VENDAS!$B:$B,$A241,VENDAS!$E:$E))</f>
        <v/>
      </c>
      <c r="I241" s="16">
        <f>IF($A241="","",H241-G241)</f>
        <v/>
      </c>
      <c r="J241" s="19">
        <f>IF($A241="","",SUMIF(COMPRAS!$B:$B,$A241,COMPRAS!$L:$L))</f>
        <v/>
      </c>
      <c r="K241" s="19">
        <f>IF($A241="","",SUMIF(VENDAS!$B:$B,$A241,VENDAS!$K:$K))</f>
        <v/>
      </c>
      <c r="L241" s="14">
        <f>IF($A241="","",IF(F241&gt;=E241,"FECHADO","ABERTO"))</f>
        <v/>
      </c>
      <c r="M241" s="19">
        <f>IF($A241="","",K241-J241)</f>
        <v/>
      </c>
    </row>
    <row r="242">
      <c r="A242" s="21" t="n"/>
      <c r="B242" s="20">
        <f>IF(OR($A242="",COUNTIF(COMPRAS!$B:$B,$A242)=0),"",MINIFS(COMPRAS!$A:$A,COMPRAS!$B:$B,$A242))</f>
        <v/>
      </c>
      <c r="C242" s="20">
        <f>IF(OR($A242="",COUNTIF(VENDAS!$B:$B,$A242)=0),"",MAXIFS(VENDAS!$A:$A,VENDAS!$B:$B,$A242))</f>
        <v/>
      </c>
      <c r="D242" s="22">
        <f>IF(OR($A242="",B242=""),"",IF(C242="",TODAY()-B242,C242-B242))</f>
        <v/>
      </c>
      <c r="E242" s="22">
        <f>IF($A242="","",SUMIF(COMPRAS!$B:$B,$A242,COMPRAS!$E:$E))</f>
        <v/>
      </c>
      <c r="F242" s="22">
        <f>IF($A242="","",SUMIF(VENDAS!$B:$B,$A242,VENDAS!$D:$D))</f>
        <v/>
      </c>
      <c r="G242" s="23">
        <f>IF($A242="","",SUMIF(COMPRAS!$B:$B,$A242,COMPRAS!$F:$F))</f>
        <v/>
      </c>
      <c r="H242" s="23">
        <f>IF($A242="","",SUMIF(VENDAS!$B:$B,$A242,VENDAS!$E:$E))</f>
        <v/>
      </c>
      <c r="I242" s="23">
        <f>IF($A242="","",H242-G242)</f>
        <v/>
      </c>
      <c r="J242" s="26">
        <f>IF($A242="","",SUMIF(COMPRAS!$B:$B,$A242,COMPRAS!$L:$L))</f>
        <v/>
      </c>
      <c r="K242" s="26">
        <f>IF($A242="","",SUMIF(VENDAS!$B:$B,$A242,VENDAS!$K:$K))</f>
        <v/>
      </c>
      <c r="L242" s="21">
        <f>IF($A242="","",IF(F242&gt;=E242,"FECHADO","ABERTO"))</f>
        <v/>
      </c>
      <c r="M242" s="26">
        <f>IF($A242="","",K242-J242)</f>
        <v/>
      </c>
    </row>
    <row r="243">
      <c r="A243" s="14" t="n"/>
      <c r="B243" s="13">
        <f>IF(OR($A243="",COUNTIF(COMPRAS!$B:$B,$A243)=0),"",MINIFS(COMPRAS!$A:$A,COMPRAS!$B:$B,$A243))</f>
        <v/>
      </c>
      <c r="C243" s="13">
        <f>IF(OR($A243="",COUNTIF(VENDAS!$B:$B,$A243)=0),"",MAXIFS(VENDAS!$A:$A,VENDAS!$B:$B,$A243))</f>
        <v/>
      </c>
      <c r="D243" s="15">
        <f>IF(OR($A243="",B243=""),"",IF(C243="",TODAY()-B243,C243-B243))</f>
        <v/>
      </c>
      <c r="E243" s="15">
        <f>IF($A243="","",SUMIF(COMPRAS!$B:$B,$A243,COMPRAS!$E:$E))</f>
        <v/>
      </c>
      <c r="F243" s="15">
        <f>IF($A243="","",SUMIF(VENDAS!$B:$B,$A243,VENDAS!$D:$D))</f>
        <v/>
      </c>
      <c r="G243" s="16">
        <f>IF($A243="","",SUMIF(COMPRAS!$B:$B,$A243,COMPRAS!$F:$F))</f>
        <v/>
      </c>
      <c r="H243" s="16">
        <f>IF($A243="","",SUMIF(VENDAS!$B:$B,$A243,VENDAS!$E:$E))</f>
        <v/>
      </c>
      <c r="I243" s="16">
        <f>IF($A243="","",H243-G243)</f>
        <v/>
      </c>
      <c r="J243" s="19">
        <f>IF($A243="","",SUMIF(COMPRAS!$B:$B,$A243,COMPRAS!$L:$L))</f>
        <v/>
      </c>
      <c r="K243" s="19">
        <f>IF($A243="","",SUMIF(VENDAS!$B:$B,$A243,VENDAS!$K:$K))</f>
        <v/>
      </c>
      <c r="L243" s="14">
        <f>IF($A243="","",IF(F243&gt;=E243,"FECHADO","ABERTO"))</f>
        <v/>
      </c>
      <c r="M243" s="19">
        <f>IF($A243="","",K243-J243)</f>
        <v/>
      </c>
    </row>
    <row r="244">
      <c r="A244" s="21" t="n"/>
      <c r="B244" s="20">
        <f>IF(OR($A244="",COUNTIF(COMPRAS!$B:$B,$A244)=0),"",MINIFS(COMPRAS!$A:$A,COMPRAS!$B:$B,$A244))</f>
        <v/>
      </c>
      <c r="C244" s="20">
        <f>IF(OR($A244="",COUNTIF(VENDAS!$B:$B,$A244)=0),"",MAXIFS(VENDAS!$A:$A,VENDAS!$B:$B,$A244))</f>
        <v/>
      </c>
      <c r="D244" s="22">
        <f>IF(OR($A244="",B244=""),"",IF(C244="",TODAY()-B244,C244-B244))</f>
        <v/>
      </c>
      <c r="E244" s="22">
        <f>IF($A244="","",SUMIF(COMPRAS!$B:$B,$A244,COMPRAS!$E:$E))</f>
        <v/>
      </c>
      <c r="F244" s="22">
        <f>IF($A244="","",SUMIF(VENDAS!$B:$B,$A244,VENDAS!$D:$D))</f>
        <v/>
      </c>
      <c r="G244" s="23">
        <f>IF($A244="","",SUMIF(COMPRAS!$B:$B,$A244,COMPRAS!$F:$F))</f>
        <v/>
      </c>
      <c r="H244" s="23">
        <f>IF($A244="","",SUMIF(VENDAS!$B:$B,$A244,VENDAS!$E:$E))</f>
        <v/>
      </c>
      <c r="I244" s="23">
        <f>IF($A244="","",H244-G244)</f>
        <v/>
      </c>
      <c r="J244" s="26">
        <f>IF($A244="","",SUMIF(COMPRAS!$B:$B,$A244,COMPRAS!$L:$L))</f>
        <v/>
      </c>
      <c r="K244" s="26">
        <f>IF($A244="","",SUMIF(VENDAS!$B:$B,$A244,VENDAS!$K:$K))</f>
        <v/>
      </c>
      <c r="L244" s="21">
        <f>IF($A244="","",IF(F244&gt;=E244,"FECHADO","ABERTO"))</f>
        <v/>
      </c>
      <c r="M244" s="26">
        <f>IF($A244="","",K244-J244)</f>
        <v/>
      </c>
    </row>
    <row r="245">
      <c r="A245" s="14" t="n"/>
      <c r="B245" s="13">
        <f>IF(OR($A245="",COUNTIF(COMPRAS!$B:$B,$A245)=0),"",MINIFS(COMPRAS!$A:$A,COMPRAS!$B:$B,$A245))</f>
        <v/>
      </c>
      <c r="C245" s="13">
        <f>IF(OR($A245="",COUNTIF(VENDAS!$B:$B,$A245)=0),"",MAXIFS(VENDAS!$A:$A,VENDAS!$B:$B,$A245))</f>
        <v/>
      </c>
      <c r="D245" s="15">
        <f>IF(OR($A245="",B245=""),"",IF(C245="",TODAY()-B245,C245-B245))</f>
        <v/>
      </c>
      <c r="E245" s="15">
        <f>IF($A245="","",SUMIF(COMPRAS!$B:$B,$A245,COMPRAS!$E:$E))</f>
        <v/>
      </c>
      <c r="F245" s="15">
        <f>IF($A245="","",SUMIF(VENDAS!$B:$B,$A245,VENDAS!$D:$D))</f>
        <v/>
      </c>
      <c r="G245" s="16">
        <f>IF($A245="","",SUMIF(COMPRAS!$B:$B,$A245,COMPRAS!$F:$F))</f>
        <v/>
      </c>
      <c r="H245" s="16">
        <f>IF($A245="","",SUMIF(VENDAS!$B:$B,$A245,VENDAS!$E:$E))</f>
        <v/>
      </c>
      <c r="I245" s="16">
        <f>IF($A245="","",H245-G245)</f>
        <v/>
      </c>
      <c r="J245" s="19">
        <f>IF($A245="","",SUMIF(COMPRAS!$B:$B,$A245,COMPRAS!$L:$L))</f>
        <v/>
      </c>
      <c r="K245" s="19">
        <f>IF($A245="","",SUMIF(VENDAS!$B:$B,$A245,VENDAS!$K:$K))</f>
        <v/>
      </c>
      <c r="L245" s="14">
        <f>IF($A245="","",IF(F245&gt;=E245,"FECHADO","ABERTO"))</f>
        <v/>
      </c>
      <c r="M245" s="19">
        <f>IF($A245="","",K245-J245)</f>
        <v/>
      </c>
    </row>
    <row r="246">
      <c r="A246" s="21" t="n"/>
      <c r="B246" s="20">
        <f>IF(OR($A246="",COUNTIF(COMPRAS!$B:$B,$A246)=0),"",MINIFS(COMPRAS!$A:$A,COMPRAS!$B:$B,$A246))</f>
        <v/>
      </c>
      <c r="C246" s="20">
        <f>IF(OR($A246="",COUNTIF(VENDAS!$B:$B,$A246)=0),"",MAXIFS(VENDAS!$A:$A,VENDAS!$B:$B,$A246))</f>
        <v/>
      </c>
      <c r="D246" s="22">
        <f>IF(OR($A246="",B246=""),"",IF(C246="",TODAY()-B246,C246-B246))</f>
        <v/>
      </c>
      <c r="E246" s="22">
        <f>IF($A246="","",SUMIF(COMPRAS!$B:$B,$A246,COMPRAS!$E:$E))</f>
        <v/>
      </c>
      <c r="F246" s="22">
        <f>IF($A246="","",SUMIF(VENDAS!$B:$B,$A246,VENDAS!$D:$D))</f>
        <v/>
      </c>
      <c r="G246" s="23">
        <f>IF($A246="","",SUMIF(COMPRAS!$B:$B,$A246,COMPRAS!$F:$F))</f>
        <v/>
      </c>
      <c r="H246" s="23">
        <f>IF($A246="","",SUMIF(VENDAS!$B:$B,$A246,VENDAS!$E:$E))</f>
        <v/>
      </c>
      <c r="I246" s="23">
        <f>IF($A246="","",H246-G246)</f>
        <v/>
      </c>
      <c r="J246" s="26">
        <f>IF($A246="","",SUMIF(COMPRAS!$B:$B,$A246,COMPRAS!$L:$L))</f>
        <v/>
      </c>
      <c r="K246" s="26">
        <f>IF($A246="","",SUMIF(VENDAS!$B:$B,$A246,VENDAS!$K:$K))</f>
        <v/>
      </c>
      <c r="L246" s="21">
        <f>IF($A246="","",IF(F246&gt;=E246,"FECHADO","ABERTO"))</f>
        <v/>
      </c>
      <c r="M246" s="26">
        <f>IF($A246="","",K246-J246)</f>
        <v/>
      </c>
    </row>
    <row r="247">
      <c r="A247" s="14" t="n"/>
      <c r="B247" s="13">
        <f>IF(OR($A247="",COUNTIF(COMPRAS!$B:$B,$A247)=0),"",MINIFS(COMPRAS!$A:$A,COMPRAS!$B:$B,$A247))</f>
        <v/>
      </c>
      <c r="C247" s="13">
        <f>IF(OR($A247="",COUNTIF(VENDAS!$B:$B,$A247)=0),"",MAXIFS(VENDAS!$A:$A,VENDAS!$B:$B,$A247))</f>
        <v/>
      </c>
      <c r="D247" s="15">
        <f>IF(OR($A247="",B247=""),"",IF(C247="",TODAY()-B247,C247-B247))</f>
        <v/>
      </c>
      <c r="E247" s="15">
        <f>IF($A247="","",SUMIF(COMPRAS!$B:$B,$A247,COMPRAS!$E:$E))</f>
        <v/>
      </c>
      <c r="F247" s="15">
        <f>IF($A247="","",SUMIF(VENDAS!$B:$B,$A247,VENDAS!$D:$D))</f>
        <v/>
      </c>
      <c r="G247" s="16">
        <f>IF($A247="","",SUMIF(COMPRAS!$B:$B,$A247,COMPRAS!$F:$F))</f>
        <v/>
      </c>
      <c r="H247" s="16">
        <f>IF($A247="","",SUMIF(VENDAS!$B:$B,$A247,VENDAS!$E:$E))</f>
        <v/>
      </c>
      <c r="I247" s="16">
        <f>IF($A247="","",H247-G247)</f>
        <v/>
      </c>
      <c r="J247" s="19">
        <f>IF($A247="","",SUMIF(COMPRAS!$B:$B,$A247,COMPRAS!$L:$L))</f>
        <v/>
      </c>
      <c r="K247" s="19">
        <f>IF($A247="","",SUMIF(VENDAS!$B:$B,$A247,VENDAS!$K:$K))</f>
        <v/>
      </c>
      <c r="L247" s="14">
        <f>IF($A247="","",IF(F247&gt;=E247,"FECHADO","ABERTO"))</f>
        <v/>
      </c>
      <c r="M247" s="19">
        <f>IF($A247="","",K247-J247)</f>
        <v/>
      </c>
    </row>
    <row r="248">
      <c r="A248" s="21" t="n"/>
      <c r="B248" s="20">
        <f>IF(OR($A248="",COUNTIF(COMPRAS!$B:$B,$A248)=0),"",MINIFS(COMPRAS!$A:$A,COMPRAS!$B:$B,$A248))</f>
        <v/>
      </c>
      <c r="C248" s="20">
        <f>IF(OR($A248="",COUNTIF(VENDAS!$B:$B,$A248)=0),"",MAXIFS(VENDAS!$A:$A,VENDAS!$B:$B,$A248))</f>
        <v/>
      </c>
      <c r="D248" s="22">
        <f>IF(OR($A248="",B248=""),"",IF(C248="",TODAY()-B248,C248-B248))</f>
        <v/>
      </c>
      <c r="E248" s="22">
        <f>IF($A248="","",SUMIF(COMPRAS!$B:$B,$A248,COMPRAS!$E:$E))</f>
        <v/>
      </c>
      <c r="F248" s="22">
        <f>IF($A248="","",SUMIF(VENDAS!$B:$B,$A248,VENDAS!$D:$D))</f>
        <v/>
      </c>
      <c r="G248" s="23">
        <f>IF($A248="","",SUMIF(COMPRAS!$B:$B,$A248,COMPRAS!$F:$F))</f>
        <v/>
      </c>
      <c r="H248" s="23">
        <f>IF($A248="","",SUMIF(VENDAS!$B:$B,$A248,VENDAS!$E:$E))</f>
        <v/>
      </c>
      <c r="I248" s="23">
        <f>IF($A248="","",H248-G248)</f>
        <v/>
      </c>
      <c r="J248" s="26">
        <f>IF($A248="","",SUMIF(COMPRAS!$B:$B,$A248,COMPRAS!$L:$L))</f>
        <v/>
      </c>
      <c r="K248" s="26">
        <f>IF($A248="","",SUMIF(VENDAS!$B:$B,$A248,VENDAS!$K:$K))</f>
        <v/>
      </c>
      <c r="L248" s="21">
        <f>IF($A248="","",IF(F248&gt;=E248,"FECHADO","ABERTO"))</f>
        <v/>
      </c>
      <c r="M248" s="26">
        <f>IF($A248="","",K248-J248)</f>
        <v/>
      </c>
    </row>
    <row r="249">
      <c r="A249" s="14" t="n"/>
      <c r="B249" s="13">
        <f>IF(OR($A249="",COUNTIF(COMPRAS!$B:$B,$A249)=0),"",MINIFS(COMPRAS!$A:$A,COMPRAS!$B:$B,$A249))</f>
        <v/>
      </c>
      <c r="C249" s="13">
        <f>IF(OR($A249="",COUNTIF(VENDAS!$B:$B,$A249)=0),"",MAXIFS(VENDAS!$A:$A,VENDAS!$B:$B,$A249))</f>
        <v/>
      </c>
      <c r="D249" s="15">
        <f>IF(OR($A249="",B249=""),"",IF(C249="",TODAY()-B249,C249-B249))</f>
        <v/>
      </c>
      <c r="E249" s="15">
        <f>IF($A249="","",SUMIF(COMPRAS!$B:$B,$A249,COMPRAS!$E:$E))</f>
        <v/>
      </c>
      <c r="F249" s="15">
        <f>IF($A249="","",SUMIF(VENDAS!$B:$B,$A249,VENDAS!$D:$D))</f>
        <v/>
      </c>
      <c r="G249" s="16">
        <f>IF($A249="","",SUMIF(COMPRAS!$B:$B,$A249,COMPRAS!$F:$F))</f>
        <v/>
      </c>
      <c r="H249" s="16">
        <f>IF($A249="","",SUMIF(VENDAS!$B:$B,$A249,VENDAS!$E:$E))</f>
        <v/>
      </c>
      <c r="I249" s="16">
        <f>IF($A249="","",H249-G249)</f>
        <v/>
      </c>
      <c r="J249" s="19">
        <f>IF($A249="","",SUMIF(COMPRAS!$B:$B,$A249,COMPRAS!$L:$L))</f>
        <v/>
      </c>
      <c r="K249" s="19">
        <f>IF($A249="","",SUMIF(VENDAS!$B:$B,$A249,VENDAS!$K:$K))</f>
        <v/>
      </c>
      <c r="L249" s="14">
        <f>IF($A249="","",IF(F249&gt;=E249,"FECHADO","ABERTO"))</f>
        <v/>
      </c>
      <c r="M249" s="19">
        <f>IF($A249="","",K249-J249)</f>
        <v/>
      </c>
    </row>
    <row r="250">
      <c r="A250" s="21" t="n"/>
      <c r="B250" s="20">
        <f>IF(OR($A250="",COUNTIF(COMPRAS!$B:$B,$A250)=0),"",MINIFS(COMPRAS!$A:$A,COMPRAS!$B:$B,$A250))</f>
        <v/>
      </c>
      <c r="C250" s="20">
        <f>IF(OR($A250="",COUNTIF(VENDAS!$B:$B,$A250)=0),"",MAXIFS(VENDAS!$A:$A,VENDAS!$B:$B,$A250))</f>
        <v/>
      </c>
      <c r="D250" s="22">
        <f>IF(OR($A250="",B250=""),"",IF(C250="",TODAY()-B250,C250-B250))</f>
        <v/>
      </c>
      <c r="E250" s="22">
        <f>IF($A250="","",SUMIF(COMPRAS!$B:$B,$A250,COMPRAS!$E:$E))</f>
        <v/>
      </c>
      <c r="F250" s="22">
        <f>IF($A250="","",SUMIF(VENDAS!$B:$B,$A250,VENDAS!$D:$D))</f>
        <v/>
      </c>
      <c r="G250" s="23">
        <f>IF($A250="","",SUMIF(COMPRAS!$B:$B,$A250,COMPRAS!$F:$F))</f>
        <v/>
      </c>
      <c r="H250" s="23">
        <f>IF($A250="","",SUMIF(VENDAS!$B:$B,$A250,VENDAS!$E:$E))</f>
        <v/>
      </c>
      <c r="I250" s="23">
        <f>IF($A250="","",H250-G250)</f>
        <v/>
      </c>
      <c r="J250" s="26">
        <f>IF($A250="","",SUMIF(COMPRAS!$B:$B,$A250,COMPRAS!$L:$L))</f>
        <v/>
      </c>
      <c r="K250" s="26">
        <f>IF($A250="","",SUMIF(VENDAS!$B:$B,$A250,VENDAS!$K:$K))</f>
        <v/>
      </c>
      <c r="L250" s="21">
        <f>IF($A250="","",IF(F250&gt;=E250,"FECHADO","ABERTO"))</f>
        <v/>
      </c>
      <c r="M250" s="26">
        <f>IF($A250="","",K250-J250)</f>
        <v/>
      </c>
    </row>
    <row r="251">
      <c r="A251" s="14" t="n"/>
      <c r="B251" s="13">
        <f>IF(OR($A251="",COUNTIF(COMPRAS!$B:$B,$A251)=0),"",MINIFS(COMPRAS!$A:$A,COMPRAS!$B:$B,$A251))</f>
        <v/>
      </c>
      <c r="C251" s="13">
        <f>IF(OR($A251="",COUNTIF(VENDAS!$B:$B,$A251)=0),"",MAXIFS(VENDAS!$A:$A,VENDAS!$B:$B,$A251))</f>
        <v/>
      </c>
      <c r="D251" s="15">
        <f>IF(OR($A251="",B251=""),"",IF(C251="",TODAY()-B251,C251-B251))</f>
        <v/>
      </c>
      <c r="E251" s="15">
        <f>IF($A251="","",SUMIF(COMPRAS!$B:$B,$A251,COMPRAS!$E:$E))</f>
        <v/>
      </c>
      <c r="F251" s="15">
        <f>IF($A251="","",SUMIF(VENDAS!$B:$B,$A251,VENDAS!$D:$D))</f>
        <v/>
      </c>
      <c r="G251" s="16">
        <f>IF($A251="","",SUMIF(COMPRAS!$B:$B,$A251,COMPRAS!$F:$F))</f>
        <v/>
      </c>
      <c r="H251" s="16">
        <f>IF($A251="","",SUMIF(VENDAS!$B:$B,$A251,VENDAS!$E:$E))</f>
        <v/>
      </c>
      <c r="I251" s="16">
        <f>IF($A251="","",H251-G251)</f>
        <v/>
      </c>
      <c r="J251" s="19">
        <f>IF($A251="","",SUMIF(COMPRAS!$B:$B,$A251,COMPRAS!$L:$L))</f>
        <v/>
      </c>
      <c r="K251" s="19">
        <f>IF($A251="","",SUMIF(VENDAS!$B:$B,$A251,VENDAS!$K:$K))</f>
        <v/>
      </c>
      <c r="L251" s="14">
        <f>IF($A251="","",IF(F251&gt;=E251,"FECHADO","ABERTO"))</f>
        <v/>
      </c>
      <c r="M251" s="19">
        <f>IF($A251="","",K251-J251)</f>
        <v/>
      </c>
    </row>
    <row r="252">
      <c r="A252" s="21" t="n"/>
      <c r="B252" s="20">
        <f>IF(OR($A252="",COUNTIF(COMPRAS!$B:$B,$A252)=0),"",MINIFS(COMPRAS!$A:$A,COMPRAS!$B:$B,$A252))</f>
        <v/>
      </c>
      <c r="C252" s="20">
        <f>IF(OR($A252="",COUNTIF(VENDAS!$B:$B,$A252)=0),"",MAXIFS(VENDAS!$A:$A,VENDAS!$B:$B,$A252))</f>
        <v/>
      </c>
      <c r="D252" s="22">
        <f>IF(OR($A252="",B252=""),"",IF(C252="",TODAY()-B252,C252-B252))</f>
        <v/>
      </c>
      <c r="E252" s="22">
        <f>IF($A252="","",SUMIF(COMPRAS!$B:$B,$A252,COMPRAS!$E:$E))</f>
        <v/>
      </c>
      <c r="F252" s="22">
        <f>IF($A252="","",SUMIF(VENDAS!$B:$B,$A252,VENDAS!$D:$D))</f>
        <v/>
      </c>
      <c r="G252" s="23">
        <f>IF($A252="","",SUMIF(COMPRAS!$B:$B,$A252,COMPRAS!$F:$F))</f>
        <v/>
      </c>
      <c r="H252" s="23">
        <f>IF($A252="","",SUMIF(VENDAS!$B:$B,$A252,VENDAS!$E:$E))</f>
        <v/>
      </c>
      <c r="I252" s="23">
        <f>IF($A252="","",H252-G252)</f>
        <v/>
      </c>
      <c r="J252" s="26">
        <f>IF($A252="","",SUMIF(COMPRAS!$B:$B,$A252,COMPRAS!$L:$L))</f>
        <v/>
      </c>
      <c r="K252" s="26">
        <f>IF($A252="","",SUMIF(VENDAS!$B:$B,$A252,VENDAS!$K:$K))</f>
        <v/>
      </c>
      <c r="L252" s="21">
        <f>IF($A252="","",IF(F252&gt;=E252,"FECHADO","ABERTO"))</f>
        <v/>
      </c>
      <c r="M252" s="26">
        <f>IF($A252="","",K252-J252)</f>
        <v/>
      </c>
    </row>
    <row r="253">
      <c r="A253" s="14" t="n"/>
      <c r="B253" s="13">
        <f>IF(OR($A253="",COUNTIF(COMPRAS!$B:$B,$A253)=0),"",MINIFS(COMPRAS!$A:$A,COMPRAS!$B:$B,$A253))</f>
        <v/>
      </c>
      <c r="C253" s="13">
        <f>IF(OR($A253="",COUNTIF(VENDAS!$B:$B,$A253)=0),"",MAXIFS(VENDAS!$A:$A,VENDAS!$B:$B,$A253))</f>
        <v/>
      </c>
      <c r="D253" s="15">
        <f>IF(OR($A253="",B253=""),"",IF(C253="",TODAY()-B253,C253-B253))</f>
        <v/>
      </c>
      <c r="E253" s="15">
        <f>IF($A253="","",SUMIF(COMPRAS!$B:$B,$A253,COMPRAS!$E:$E))</f>
        <v/>
      </c>
      <c r="F253" s="15">
        <f>IF($A253="","",SUMIF(VENDAS!$B:$B,$A253,VENDAS!$D:$D))</f>
        <v/>
      </c>
      <c r="G253" s="16">
        <f>IF($A253="","",SUMIF(COMPRAS!$B:$B,$A253,COMPRAS!$F:$F))</f>
        <v/>
      </c>
      <c r="H253" s="16">
        <f>IF($A253="","",SUMIF(VENDAS!$B:$B,$A253,VENDAS!$E:$E))</f>
        <v/>
      </c>
      <c r="I253" s="16">
        <f>IF($A253="","",H253-G253)</f>
        <v/>
      </c>
      <c r="J253" s="19">
        <f>IF($A253="","",SUMIF(COMPRAS!$B:$B,$A253,COMPRAS!$L:$L))</f>
        <v/>
      </c>
      <c r="K253" s="19">
        <f>IF($A253="","",SUMIF(VENDAS!$B:$B,$A253,VENDAS!$K:$K))</f>
        <v/>
      </c>
      <c r="L253" s="14">
        <f>IF($A253="","",IF(F253&gt;=E253,"FECHADO","ABERTO"))</f>
        <v/>
      </c>
      <c r="M253" s="19">
        <f>IF($A253="","",K253-J253)</f>
        <v/>
      </c>
    </row>
    <row r="254">
      <c r="A254" s="21" t="n"/>
      <c r="B254" s="20">
        <f>IF(OR($A254="",COUNTIF(COMPRAS!$B:$B,$A254)=0),"",MINIFS(COMPRAS!$A:$A,COMPRAS!$B:$B,$A254))</f>
        <v/>
      </c>
      <c r="C254" s="20">
        <f>IF(OR($A254="",COUNTIF(VENDAS!$B:$B,$A254)=0),"",MAXIFS(VENDAS!$A:$A,VENDAS!$B:$B,$A254))</f>
        <v/>
      </c>
      <c r="D254" s="22">
        <f>IF(OR($A254="",B254=""),"",IF(C254="",TODAY()-B254,C254-B254))</f>
        <v/>
      </c>
      <c r="E254" s="22">
        <f>IF($A254="","",SUMIF(COMPRAS!$B:$B,$A254,COMPRAS!$E:$E))</f>
        <v/>
      </c>
      <c r="F254" s="22">
        <f>IF($A254="","",SUMIF(VENDAS!$B:$B,$A254,VENDAS!$D:$D))</f>
        <v/>
      </c>
      <c r="G254" s="23">
        <f>IF($A254="","",SUMIF(COMPRAS!$B:$B,$A254,COMPRAS!$F:$F))</f>
        <v/>
      </c>
      <c r="H254" s="23">
        <f>IF($A254="","",SUMIF(VENDAS!$B:$B,$A254,VENDAS!$E:$E))</f>
        <v/>
      </c>
      <c r="I254" s="23">
        <f>IF($A254="","",H254-G254)</f>
        <v/>
      </c>
      <c r="J254" s="26">
        <f>IF($A254="","",SUMIF(COMPRAS!$B:$B,$A254,COMPRAS!$L:$L))</f>
        <v/>
      </c>
      <c r="K254" s="26">
        <f>IF($A254="","",SUMIF(VENDAS!$B:$B,$A254,VENDAS!$K:$K))</f>
        <v/>
      </c>
      <c r="L254" s="21">
        <f>IF($A254="","",IF(F254&gt;=E254,"FECHADO","ABERTO"))</f>
        <v/>
      </c>
      <c r="M254" s="26">
        <f>IF($A254="","",K254-J254)</f>
        <v/>
      </c>
    </row>
    <row r="255">
      <c r="A255" s="14" t="n"/>
      <c r="B255" s="13">
        <f>IF(OR($A255="",COUNTIF(COMPRAS!$B:$B,$A255)=0),"",MINIFS(COMPRAS!$A:$A,COMPRAS!$B:$B,$A255))</f>
        <v/>
      </c>
      <c r="C255" s="13">
        <f>IF(OR($A255="",COUNTIF(VENDAS!$B:$B,$A255)=0),"",MAXIFS(VENDAS!$A:$A,VENDAS!$B:$B,$A255))</f>
        <v/>
      </c>
      <c r="D255" s="15">
        <f>IF(OR($A255="",B255=""),"",IF(C255="",TODAY()-B255,C255-B255))</f>
        <v/>
      </c>
      <c r="E255" s="15">
        <f>IF($A255="","",SUMIF(COMPRAS!$B:$B,$A255,COMPRAS!$E:$E))</f>
        <v/>
      </c>
      <c r="F255" s="15">
        <f>IF($A255="","",SUMIF(VENDAS!$B:$B,$A255,VENDAS!$D:$D))</f>
        <v/>
      </c>
      <c r="G255" s="16">
        <f>IF($A255="","",SUMIF(COMPRAS!$B:$B,$A255,COMPRAS!$F:$F))</f>
        <v/>
      </c>
      <c r="H255" s="16">
        <f>IF($A255="","",SUMIF(VENDAS!$B:$B,$A255,VENDAS!$E:$E))</f>
        <v/>
      </c>
      <c r="I255" s="16">
        <f>IF($A255="","",H255-G255)</f>
        <v/>
      </c>
      <c r="J255" s="19">
        <f>IF($A255="","",SUMIF(COMPRAS!$B:$B,$A255,COMPRAS!$L:$L))</f>
        <v/>
      </c>
      <c r="K255" s="19">
        <f>IF($A255="","",SUMIF(VENDAS!$B:$B,$A255,VENDAS!$K:$K))</f>
        <v/>
      </c>
      <c r="L255" s="14">
        <f>IF($A255="","",IF(F255&gt;=E255,"FECHADO","ABERTO"))</f>
        <v/>
      </c>
      <c r="M255" s="19">
        <f>IF($A255="","",K255-J255)</f>
        <v/>
      </c>
    </row>
    <row r="256">
      <c r="A256" s="21" t="n"/>
      <c r="B256" s="20">
        <f>IF(OR($A256="",COUNTIF(COMPRAS!$B:$B,$A256)=0),"",MINIFS(COMPRAS!$A:$A,COMPRAS!$B:$B,$A256))</f>
        <v/>
      </c>
      <c r="C256" s="20">
        <f>IF(OR($A256="",COUNTIF(VENDAS!$B:$B,$A256)=0),"",MAXIFS(VENDAS!$A:$A,VENDAS!$B:$B,$A256))</f>
        <v/>
      </c>
      <c r="D256" s="22">
        <f>IF(OR($A256="",B256=""),"",IF(C256="",TODAY()-B256,C256-B256))</f>
        <v/>
      </c>
      <c r="E256" s="22">
        <f>IF($A256="","",SUMIF(COMPRAS!$B:$B,$A256,COMPRAS!$E:$E))</f>
        <v/>
      </c>
      <c r="F256" s="22">
        <f>IF($A256="","",SUMIF(VENDAS!$B:$B,$A256,VENDAS!$D:$D))</f>
        <v/>
      </c>
      <c r="G256" s="23">
        <f>IF($A256="","",SUMIF(COMPRAS!$B:$B,$A256,COMPRAS!$F:$F))</f>
        <v/>
      </c>
      <c r="H256" s="23">
        <f>IF($A256="","",SUMIF(VENDAS!$B:$B,$A256,VENDAS!$E:$E))</f>
        <v/>
      </c>
      <c r="I256" s="23">
        <f>IF($A256="","",H256-G256)</f>
        <v/>
      </c>
      <c r="J256" s="26">
        <f>IF($A256="","",SUMIF(COMPRAS!$B:$B,$A256,COMPRAS!$L:$L))</f>
        <v/>
      </c>
      <c r="K256" s="26">
        <f>IF($A256="","",SUMIF(VENDAS!$B:$B,$A256,VENDAS!$K:$K))</f>
        <v/>
      </c>
      <c r="L256" s="21">
        <f>IF($A256="","",IF(F256&gt;=E256,"FECHADO","ABERTO"))</f>
        <v/>
      </c>
      <c r="M256" s="26">
        <f>IF($A256="","",K256-J256)</f>
        <v/>
      </c>
    </row>
    <row r="257">
      <c r="A257" s="14" t="n"/>
      <c r="B257" s="13">
        <f>IF(OR($A257="",COUNTIF(COMPRAS!$B:$B,$A257)=0),"",MINIFS(COMPRAS!$A:$A,COMPRAS!$B:$B,$A257))</f>
        <v/>
      </c>
      <c r="C257" s="13">
        <f>IF(OR($A257="",COUNTIF(VENDAS!$B:$B,$A257)=0),"",MAXIFS(VENDAS!$A:$A,VENDAS!$B:$B,$A257))</f>
        <v/>
      </c>
      <c r="D257" s="15">
        <f>IF(OR($A257="",B257=""),"",IF(C257="",TODAY()-B257,C257-B257))</f>
        <v/>
      </c>
      <c r="E257" s="15">
        <f>IF($A257="","",SUMIF(COMPRAS!$B:$B,$A257,COMPRAS!$E:$E))</f>
        <v/>
      </c>
      <c r="F257" s="15">
        <f>IF($A257="","",SUMIF(VENDAS!$B:$B,$A257,VENDAS!$D:$D))</f>
        <v/>
      </c>
      <c r="G257" s="16">
        <f>IF($A257="","",SUMIF(COMPRAS!$B:$B,$A257,COMPRAS!$F:$F))</f>
        <v/>
      </c>
      <c r="H257" s="16">
        <f>IF($A257="","",SUMIF(VENDAS!$B:$B,$A257,VENDAS!$E:$E))</f>
        <v/>
      </c>
      <c r="I257" s="16">
        <f>IF($A257="","",H257-G257)</f>
        <v/>
      </c>
      <c r="J257" s="19">
        <f>IF($A257="","",SUMIF(COMPRAS!$B:$B,$A257,COMPRAS!$L:$L))</f>
        <v/>
      </c>
      <c r="K257" s="19">
        <f>IF($A257="","",SUMIF(VENDAS!$B:$B,$A257,VENDAS!$K:$K))</f>
        <v/>
      </c>
      <c r="L257" s="14">
        <f>IF($A257="","",IF(F257&gt;=E257,"FECHADO","ABERTO"))</f>
        <v/>
      </c>
      <c r="M257" s="19">
        <f>IF($A257="","",K257-J257)</f>
        <v/>
      </c>
    </row>
    <row r="258">
      <c r="A258" s="21" t="n"/>
      <c r="B258" s="20">
        <f>IF(OR($A258="",COUNTIF(COMPRAS!$B:$B,$A258)=0),"",MINIFS(COMPRAS!$A:$A,COMPRAS!$B:$B,$A258))</f>
        <v/>
      </c>
      <c r="C258" s="20">
        <f>IF(OR($A258="",COUNTIF(VENDAS!$B:$B,$A258)=0),"",MAXIFS(VENDAS!$A:$A,VENDAS!$B:$B,$A258))</f>
        <v/>
      </c>
      <c r="D258" s="22">
        <f>IF(OR($A258="",B258=""),"",IF(C258="",TODAY()-B258,C258-B258))</f>
        <v/>
      </c>
      <c r="E258" s="22">
        <f>IF($A258="","",SUMIF(COMPRAS!$B:$B,$A258,COMPRAS!$E:$E))</f>
        <v/>
      </c>
      <c r="F258" s="22">
        <f>IF($A258="","",SUMIF(VENDAS!$B:$B,$A258,VENDAS!$D:$D))</f>
        <v/>
      </c>
      <c r="G258" s="23">
        <f>IF($A258="","",SUMIF(COMPRAS!$B:$B,$A258,COMPRAS!$F:$F))</f>
        <v/>
      </c>
      <c r="H258" s="23">
        <f>IF($A258="","",SUMIF(VENDAS!$B:$B,$A258,VENDAS!$E:$E))</f>
        <v/>
      </c>
      <c r="I258" s="23">
        <f>IF($A258="","",H258-G258)</f>
        <v/>
      </c>
      <c r="J258" s="26">
        <f>IF($A258="","",SUMIF(COMPRAS!$B:$B,$A258,COMPRAS!$L:$L))</f>
        <v/>
      </c>
      <c r="K258" s="26">
        <f>IF($A258="","",SUMIF(VENDAS!$B:$B,$A258,VENDAS!$K:$K))</f>
        <v/>
      </c>
      <c r="L258" s="21">
        <f>IF($A258="","",IF(F258&gt;=E258,"FECHADO","ABERTO"))</f>
        <v/>
      </c>
      <c r="M258" s="26">
        <f>IF($A258="","",K258-J258)</f>
        <v/>
      </c>
    </row>
    <row r="259">
      <c r="A259" s="14" t="n"/>
      <c r="B259" s="13">
        <f>IF(OR($A259="",COUNTIF(COMPRAS!$B:$B,$A259)=0),"",MINIFS(COMPRAS!$A:$A,COMPRAS!$B:$B,$A259))</f>
        <v/>
      </c>
      <c r="C259" s="13">
        <f>IF(OR($A259="",COUNTIF(VENDAS!$B:$B,$A259)=0),"",MAXIFS(VENDAS!$A:$A,VENDAS!$B:$B,$A259))</f>
        <v/>
      </c>
      <c r="D259" s="15">
        <f>IF(OR($A259="",B259=""),"",IF(C259="",TODAY()-B259,C259-B259))</f>
        <v/>
      </c>
      <c r="E259" s="15">
        <f>IF($A259="","",SUMIF(COMPRAS!$B:$B,$A259,COMPRAS!$E:$E))</f>
        <v/>
      </c>
      <c r="F259" s="15">
        <f>IF($A259="","",SUMIF(VENDAS!$B:$B,$A259,VENDAS!$D:$D))</f>
        <v/>
      </c>
      <c r="G259" s="16">
        <f>IF($A259="","",SUMIF(COMPRAS!$B:$B,$A259,COMPRAS!$F:$F))</f>
        <v/>
      </c>
      <c r="H259" s="16">
        <f>IF($A259="","",SUMIF(VENDAS!$B:$B,$A259,VENDAS!$E:$E))</f>
        <v/>
      </c>
      <c r="I259" s="16">
        <f>IF($A259="","",H259-G259)</f>
        <v/>
      </c>
      <c r="J259" s="19">
        <f>IF($A259="","",SUMIF(COMPRAS!$B:$B,$A259,COMPRAS!$L:$L))</f>
        <v/>
      </c>
      <c r="K259" s="19">
        <f>IF($A259="","",SUMIF(VENDAS!$B:$B,$A259,VENDAS!$K:$K))</f>
        <v/>
      </c>
      <c r="L259" s="14">
        <f>IF($A259="","",IF(F259&gt;=E259,"FECHADO","ABERTO"))</f>
        <v/>
      </c>
      <c r="M259" s="19">
        <f>IF($A259="","",K259-J259)</f>
        <v/>
      </c>
    </row>
    <row r="260">
      <c r="A260" s="21" t="n"/>
      <c r="B260" s="20">
        <f>IF(OR($A260="",COUNTIF(COMPRAS!$B:$B,$A260)=0),"",MINIFS(COMPRAS!$A:$A,COMPRAS!$B:$B,$A260))</f>
        <v/>
      </c>
      <c r="C260" s="20">
        <f>IF(OR($A260="",COUNTIF(VENDAS!$B:$B,$A260)=0),"",MAXIFS(VENDAS!$A:$A,VENDAS!$B:$B,$A260))</f>
        <v/>
      </c>
      <c r="D260" s="22">
        <f>IF(OR($A260="",B260=""),"",IF(C260="",TODAY()-B260,C260-B260))</f>
        <v/>
      </c>
      <c r="E260" s="22">
        <f>IF($A260="","",SUMIF(COMPRAS!$B:$B,$A260,COMPRAS!$E:$E))</f>
        <v/>
      </c>
      <c r="F260" s="22">
        <f>IF($A260="","",SUMIF(VENDAS!$B:$B,$A260,VENDAS!$D:$D))</f>
        <v/>
      </c>
      <c r="G260" s="23">
        <f>IF($A260="","",SUMIF(COMPRAS!$B:$B,$A260,COMPRAS!$F:$F))</f>
        <v/>
      </c>
      <c r="H260" s="23">
        <f>IF($A260="","",SUMIF(VENDAS!$B:$B,$A260,VENDAS!$E:$E))</f>
        <v/>
      </c>
      <c r="I260" s="23">
        <f>IF($A260="","",H260-G260)</f>
        <v/>
      </c>
      <c r="J260" s="26">
        <f>IF($A260="","",SUMIF(COMPRAS!$B:$B,$A260,COMPRAS!$L:$L))</f>
        <v/>
      </c>
      <c r="K260" s="26">
        <f>IF($A260="","",SUMIF(VENDAS!$B:$B,$A260,VENDAS!$K:$K))</f>
        <v/>
      </c>
      <c r="L260" s="21">
        <f>IF($A260="","",IF(F260&gt;=E260,"FECHADO","ABERTO"))</f>
        <v/>
      </c>
      <c r="M260" s="26">
        <f>IF($A260="","",K260-J260)</f>
        <v/>
      </c>
    </row>
    <row r="261">
      <c r="A261" s="14" t="n"/>
      <c r="B261" s="13">
        <f>IF(OR($A261="",COUNTIF(COMPRAS!$B:$B,$A261)=0),"",MINIFS(COMPRAS!$A:$A,COMPRAS!$B:$B,$A261))</f>
        <v/>
      </c>
      <c r="C261" s="13">
        <f>IF(OR($A261="",COUNTIF(VENDAS!$B:$B,$A261)=0),"",MAXIFS(VENDAS!$A:$A,VENDAS!$B:$B,$A261))</f>
        <v/>
      </c>
      <c r="D261" s="15">
        <f>IF(OR($A261="",B261=""),"",IF(C261="",TODAY()-B261,C261-B261))</f>
        <v/>
      </c>
      <c r="E261" s="15">
        <f>IF($A261="","",SUMIF(COMPRAS!$B:$B,$A261,COMPRAS!$E:$E))</f>
        <v/>
      </c>
      <c r="F261" s="15">
        <f>IF($A261="","",SUMIF(VENDAS!$B:$B,$A261,VENDAS!$D:$D))</f>
        <v/>
      </c>
      <c r="G261" s="16">
        <f>IF($A261="","",SUMIF(COMPRAS!$B:$B,$A261,COMPRAS!$F:$F))</f>
        <v/>
      </c>
      <c r="H261" s="16">
        <f>IF($A261="","",SUMIF(VENDAS!$B:$B,$A261,VENDAS!$E:$E))</f>
        <v/>
      </c>
      <c r="I261" s="16">
        <f>IF($A261="","",H261-G261)</f>
        <v/>
      </c>
      <c r="J261" s="19">
        <f>IF($A261="","",SUMIF(COMPRAS!$B:$B,$A261,COMPRAS!$L:$L))</f>
        <v/>
      </c>
      <c r="K261" s="19">
        <f>IF($A261="","",SUMIF(VENDAS!$B:$B,$A261,VENDAS!$K:$K))</f>
        <v/>
      </c>
      <c r="L261" s="14">
        <f>IF($A261="","",IF(F261&gt;=E261,"FECHADO","ABERTO"))</f>
        <v/>
      </c>
      <c r="M261" s="19">
        <f>IF($A261="","",K261-J261)</f>
        <v/>
      </c>
    </row>
    <row r="262">
      <c r="A262" s="21" t="n"/>
      <c r="B262" s="20">
        <f>IF(OR($A262="",COUNTIF(COMPRAS!$B:$B,$A262)=0),"",MINIFS(COMPRAS!$A:$A,COMPRAS!$B:$B,$A262))</f>
        <v/>
      </c>
      <c r="C262" s="20">
        <f>IF(OR($A262="",COUNTIF(VENDAS!$B:$B,$A262)=0),"",MAXIFS(VENDAS!$A:$A,VENDAS!$B:$B,$A262))</f>
        <v/>
      </c>
      <c r="D262" s="22">
        <f>IF(OR($A262="",B262=""),"",IF(C262="",TODAY()-B262,C262-B262))</f>
        <v/>
      </c>
      <c r="E262" s="22">
        <f>IF($A262="","",SUMIF(COMPRAS!$B:$B,$A262,COMPRAS!$E:$E))</f>
        <v/>
      </c>
      <c r="F262" s="22">
        <f>IF($A262="","",SUMIF(VENDAS!$B:$B,$A262,VENDAS!$D:$D))</f>
        <v/>
      </c>
      <c r="G262" s="23">
        <f>IF($A262="","",SUMIF(COMPRAS!$B:$B,$A262,COMPRAS!$F:$F))</f>
        <v/>
      </c>
      <c r="H262" s="23">
        <f>IF($A262="","",SUMIF(VENDAS!$B:$B,$A262,VENDAS!$E:$E))</f>
        <v/>
      </c>
      <c r="I262" s="23">
        <f>IF($A262="","",H262-G262)</f>
        <v/>
      </c>
      <c r="J262" s="26">
        <f>IF($A262="","",SUMIF(COMPRAS!$B:$B,$A262,COMPRAS!$L:$L))</f>
        <v/>
      </c>
      <c r="K262" s="26">
        <f>IF($A262="","",SUMIF(VENDAS!$B:$B,$A262,VENDAS!$K:$K))</f>
        <v/>
      </c>
      <c r="L262" s="21">
        <f>IF($A262="","",IF(F262&gt;=E262,"FECHADO","ABERTO"))</f>
        <v/>
      </c>
      <c r="M262" s="26">
        <f>IF($A262="","",K262-J262)</f>
        <v/>
      </c>
    </row>
    <row r="263">
      <c r="A263" s="14" t="n"/>
      <c r="B263" s="13">
        <f>IF(OR($A263="",COUNTIF(COMPRAS!$B:$B,$A263)=0),"",MINIFS(COMPRAS!$A:$A,COMPRAS!$B:$B,$A263))</f>
        <v/>
      </c>
      <c r="C263" s="13">
        <f>IF(OR($A263="",COUNTIF(VENDAS!$B:$B,$A263)=0),"",MAXIFS(VENDAS!$A:$A,VENDAS!$B:$B,$A263))</f>
        <v/>
      </c>
      <c r="D263" s="15">
        <f>IF(OR($A263="",B263=""),"",IF(C263="",TODAY()-B263,C263-B263))</f>
        <v/>
      </c>
      <c r="E263" s="15">
        <f>IF($A263="","",SUMIF(COMPRAS!$B:$B,$A263,COMPRAS!$E:$E))</f>
        <v/>
      </c>
      <c r="F263" s="15">
        <f>IF($A263="","",SUMIF(VENDAS!$B:$B,$A263,VENDAS!$D:$D))</f>
        <v/>
      </c>
      <c r="G263" s="16">
        <f>IF($A263="","",SUMIF(COMPRAS!$B:$B,$A263,COMPRAS!$F:$F))</f>
        <v/>
      </c>
      <c r="H263" s="16">
        <f>IF($A263="","",SUMIF(VENDAS!$B:$B,$A263,VENDAS!$E:$E))</f>
        <v/>
      </c>
      <c r="I263" s="16">
        <f>IF($A263="","",H263-G263)</f>
        <v/>
      </c>
      <c r="J263" s="19">
        <f>IF($A263="","",SUMIF(COMPRAS!$B:$B,$A263,COMPRAS!$L:$L))</f>
        <v/>
      </c>
      <c r="K263" s="19">
        <f>IF($A263="","",SUMIF(VENDAS!$B:$B,$A263,VENDAS!$K:$K))</f>
        <v/>
      </c>
      <c r="L263" s="14">
        <f>IF($A263="","",IF(F263&gt;=E263,"FECHADO","ABERTO"))</f>
        <v/>
      </c>
      <c r="M263" s="19">
        <f>IF($A263="","",K263-J263)</f>
        <v/>
      </c>
    </row>
    <row r="264">
      <c r="A264" s="21" t="n"/>
      <c r="B264" s="20">
        <f>IF(OR($A264="",COUNTIF(COMPRAS!$B:$B,$A264)=0),"",MINIFS(COMPRAS!$A:$A,COMPRAS!$B:$B,$A264))</f>
        <v/>
      </c>
      <c r="C264" s="20">
        <f>IF(OR($A264="",COUNTIF(VENDAS!$B:$B,$A264)=0),"",MAXIFS(VENDAS!$A:$A,VENDAS!$B:$B,$A264))</f>
        <v/>
      </c>
      <c r="D264" s="22">
        <f>IF(OR($A264="",B264=""),"",IF(C264="",TODAY()-B264,C264-B264))</f>
        <v/>
      </c>
      <c r="E264" s="22">
        <f>IF($A264="","",SUMIF(COMPRAS!$B:$B,$A264,COMPRAS!$E:$E))</f>
        <v/>
      </c>
      <c r="F264" s="22">
        <f>IF($A264="","",SUMIF(VENDAS!$B:$B,$A264,VENDAS!$D:$D))</f>
        <v/>
      </c>
      <c r="G264" s="23">
        <f>IF($A264="","",SUMIF(COMPRAS!$B:$B,$A264,COMPRAS!$F:$F))</f>
        <v/>
      </c>
      <c r="H264" s="23">
        <f>IF($A264="","",SUMIF(VENDAS!$B:$B,$A264,VENDAS!$E:$E))</f>
        <v/>
      </c>
      <c r="I264" s="23">
        <f>IF($A264="","",H264-G264)</f>
        <v/>
      </c>
      <c r="J264" s="26">
        <f>IF($A264="","",SUMIF(COMPRAS!$B:$B,$A264,COMPRAS!$L:$L))</f>
        <v/>
      </c>
      <c r="K264" s="26">
        <f>IF($A264="","",SUMIF(VENDAS!$B:$B,$A264,VENDAS!$K:$K))</f>
        <v/>
      </c>
      <c r="L264" s="21">
        <f>IF($A264="","",IF(F264&gt;=E264,"FECHADO","ABERTO"))</f>
        <v/>
      </c>
      <c r="M264" s="26">
        <f>IF($A264="","",K264-J264)</f>
        <v/>
      </c>
    </row>
    <row r="265">
      <c r="A265" s="14" t="n"/>
      <c r="B265" s="13">
        <f>IF(OR($A265="",COUNTIF(COMPRAS!$B:$B,$A265)=0),"",MINIFS(COMPRAS!$A:$A,COMPRAS!$B:$B,$A265))</f>
        <v/>
      </c>
      <c r="C265" s="13">
        <f>IF(OR($A265="",COUNTIF(VENDAS!$B:$B,$A265)=0),"",MAXIFS(VENDAS!$A:$A,VENDAS!$B:$B,$A265))</f>
        <v/>
      </c>
      <c r="D265" s="15">
        <f>IF(OR($A265="",B265=""),"",IF(C265="",TODAY()-B265,C265-B265))</f>
        <v/>
      </c>
      <c r="E265" s="15">
        <f>IF($A265="","",SUMIF(COMPRAS!$B:$B,$A265,COMPRAS!$E:$E))</f>
        <v/>
      </c>
      <c r="F265" s="15">
        <f>IF($A265="","",SUMIF(VENDAS!$B:$B,$A265,VENDAS!$D:$D))</f>
        <v/>
      </c>
      <c r="G265" s="16">
        <f>IF($A265="","",SUMIF(COMPRAS!$B:$B,$A265,COMPRAS!$F:$F))</f>
        <v/>
      </c>
      <c r="H265" s="16">
        <f>IF($A265="","",SUMIF(VENDAS!$B:$B,$A265,VENDAS!$E:$E))</f>
        <v/>
      </c>
      <c r="I265" s="16">
        <f>IF($A265="","",H265-G265)</f>
        <v/>
      </c>
      <c r="J265" s="19">
        <f>IF($A265="","",SUMIF(COMPRAS!$B:$B,$A265,COMPRAS!$L:$L))</f>
        <v/>
      </c>
      <c r="K265" s="19">
        <f>IF($A265="","",SUMIF(VENDAS!$B:$B,$A265,VENDAS!$K:$K))</f>
        <v/>
      </c>
      <c r="L265" s="14">
        <f>IF($A265="","",IF(F265&gt;=E265,"FECHADO","ABERTO"))</f>
        <v/>
      </c>
      <c r="M265" s="19">
        <f>IF($A265="","",K265-J265)</f>
        <v/>
      </c>
    </row>
    <row r="266">
      <c r="A266" s="21" t="n"/>
      <c r="B266" s="20">
        <f>IF(OR($A266="",COUNTIF(COMPRAS!$B:$B,$A266)=0),"",MINIFS(COMPRAS!$A:$A,COMPRAS!$B:$B,$A266))</f>
        <v/>
      </c>
      <c r="C266" s="20">
        <f>IF(OR($A266="",COUNTIF(VENDAS!$B:$B,$A266)=0),"",MAXIFS(VENDAS!$A:$A,VENDAS!$B:$B,$A266))</f>
        <v/>
      </c>
      <c r="D266" s="22">
        <f>IF(OR($A266="",B266=""),"",IF(C266="",TODAY()-B266,C266-B266))</f>
        <v/>
      </c>
      <c r="E266" s="22">
        <f>IF($A266="","",SUMIF(COMPRAS!$B:$B,$A266,COMPRAS!$E:$E))</f>
        <v/>
      </c>
      <c r="F266" s="22">
        <f>IF($A266="","",SUMIF(VENDAS!$B:$B,$A266,VENDAS!$D:$D))</f>
        <v/>
      </c>
      <c r="G266" s="23">
        <f>IF($A266="","",SUMIF(COMPRAS!$B:$B,$A266,COMPRAS!$F:$F))</f>
        <v/>
      </c>
      <c r="H266" s="23">
        <f>IF($A266="","",SUMIF(VENDAS!$B:$B,$A266,VENDAS!$E:$E))</f>
        <v/>
      </c>
      <c r="I266" s="23">
        <f>IF($A266="","",H266-G266)</f>
        <v/>
      </c>
      <c r="J266" s="26">
        <f>IF($A266="","",SUMIF(COMPRAS!$B:$B,$A266,COMPRAS!$L:$L))</f>
        <v/>
      </c>
      <c r="K266" s="26">
        <f>IF($A266="","",SUMIF(VENDAS!$B:$B,$A266,VENDAS!$K:$K))</f>
        <v/>
      </c>
      <c r="L266" s="21">
        <f>IF($A266="","",IF(F266&gt;=E266,"FECHADO","ABERTO"))</f>
        <v/>
      </c>
      <c r="M266" s="26">
        <f>IF($A266="","",K266-J266)</f>
        <v/>
      </c>
    </row>
    <row r="267">
      <c r="A267" s="14" t="n"/>
      <c r="B267" s="13">
        <f>IF(OR($A267="",COUNTIF(COMPRAS!$B:$B,$A267)=0),"",MINIFS(COMPRAS!$A:$A,COMPRAS!$B:$B,$A267))</f>
        <v/>
      </c>
      <c r="C267" s="13">
        <f>IF(OR($A267="",COUNTIF(VENDAS!$B:$B,$A267)=0),"",MAXIFS(VENDAS!$A:$A,VENDAS!$B:$B,$A267))</f>
        <v/>
      </c>
      <c r="D267" s="15">
        <f>IF(OR($A267="",B267=""),"",IF(C267="",TODAY()-B267,C267-B267))</f>
        <v/>
      </c>
      <c r="E267" s="15">
        <f>IF($A267="","",SUMIF(COMPRAS!$B:$B,$A267,COMPRAS!$E:$E))</f>
        <v/>
      </c>
      <c r="F267" s="15">
        <f>IF($A267="","",SUMIF(VENDAS!$B:$B,$A267,VENDAS!$D:$D))</f>
        <v/>
      </c>
      <c r="G267" s="16">
        <f>IF($A267="","",SUMIF(COMPRAS!$B:$B,$A267,COMPRAS!$F:$F))</f>
        <v/>
      </c>
      <c r="H267" s="16">
        <f>IF($A267="","",SUMIF(VENDAS!$B:$B,$A267,VENDAS!$E:$E))</f>
        <v/>
      </c>
      <c r="I267" s="16">
        <f>IF($A267="","",H267-G267)</f>
        <v/>
      </c>
      <c r="J267" s="19">
        <f>IF($A267="","",SUMIF(COMPRAS!$B:$B,$A267,COMPRAS!$L:$L))</f>
        <v/>
      </c>
      <c r="K267" s="19">
        <f>IF($A267="","",SUMIF(VENDAS!$B:$B,$A267,VENDAS!$K:$K))</f>
        <v/>
      </c>
      <c r="L267" s="14">
        <f>IF($A267="","",IF(F267&gt;=E267,"FECHADO","ABERTO"))</f>
        <v/>
      </c>
      <c r="M267" s="19">
        <f>IF($A267="","",K267-J267)</f>
        <v/>
      </c>
    </row>
    <row r="268">
      <c r="A268" s="21" t="n"/>
      <c r="B268" s="20">
        <f>IF(OR($A268="",COUNTIF(COMPRAS!$B:$B,$A268)=0),"",MINIFS(COMPRAS!$A:$A,COMPRAS!$B:$B,$A268))</f>
        <v/>
      </c>
      <c r="C268" s="20">
        <f>IF(OR($A268="",COUNTIF(VENDAS!$B:$B,$A268)=0),"",MAXIFS(VENDAS!$A:$A,VENDAS!$B:$B,$A268))</f>
        <v/>
      </c>
      <c r="D268" s="22">
        <f>IF(OR($A268="",B268=""),"",IF(C268="",TODAY()-B268,C268-B268))</f>
        <v/>
      </c>
      <c r="E268" s="22">
        <f>IF($A268="","",SUMIF(COMPRAS!$B:$B,$A268,COMPRAS!$E:$E))</f>
        <v/>
      </c>
      <c r="F268" s="22">
        <f>IF($A268="","",SUMIF(VENDAS!$B:$B,$A268,VENDAS!$D:$D))</f>
        <v/>
      </c>
      <c r="G268" s="23">
        <f>IF($A268="","",SUMIF(COMPRAS!$B:$B,$A268,COMPRAS!$F:$F))</f>
        <v/>
      </c>
      <c r="H268" s="23">
        <f>IF($A268="","",SUMIF(VENDAS!$B:$B,$A268,VENDAS!$E:$E))</f>
        <v/>
      </c>
      <c r="I268" s="23">
        <f>IF($A268="","",H268-G268)</f>
        <v/>
      </c>
      <c r="J268" s="26">
        <f>IF($A268="","",SUMIF(COMPRAS!$B:$B,$A268,COMPRAS!$L:$L))</f>
        <v/>
      </c>
      <c r="K268" s="26">
        <f>IF($A268="","",SUMIF(VENDAS!$B:$B,$A268,VENDAS!$K:$K))</f>
        <v/>
      </c>
      <c r="L268" s="21">
        <f>IF($A268="","",IF(F268&gt;=E268,"FECHADO","ABERTO"))</f>
        <v/>
      </c>
      <c r="M268" s="26">
        <f>IF($A268="","",K268-J268)</f>
        <v/>
      </c>
    </row>
    <row r="269">
      <c r="A269" s="14" t="n"/>
      <c r="B269" s="13">
        <f>IF(OR($A269="",COUNTIF(COMPRAS!$B:$B,$A269)=0),"",MINIFS(COMPRAS!$A:$A,COMPRAS!$B:$B,$A269))</f>
        <v/>
      </c>
      <c r="C269" s="13">
        <f>IF(OR($A269="",COUNTIF(VENDAS!$B:$B,$A269)=0),"",MAXIFS(VENDAS!$A:$A,VENDAS!$B:$B,$A269))</f>
        <v/>
      </c>
      <c r="D269" s="15">
        <f>IF(OR($A269="",B269=""),"",IF(C269="",TODAY()-B269,C269-B269))</f>
        <v/>
      </c>
      <c r="E269" s="15">
        <f>IF($A269="","",SUMIF(COMPRAS!$B:$B,$A269,COMPRAS!$E:$E))</f>
        <v/>
      </c>
      <c r="F269" s="15">
        <f>IF($A269="","",SUMIF(VENDAS!$B:$B,$A269,VENDAS!$D:$D))</f>
        <v/>
      </c>
      <c r="G269" s="16">
        <f>IF($A269="","",SUMIF(COMPRAS!$B:$B,$A269,COMPRAS!$F:$F))</f>
        <v/>
      </c>
      <c r="H269" s="16">
        <f>IF($A269="","",SUMIF(VENDAS!$B:$B,$A269,VENDAS!$E:$E))</f>
        <v/>
      </c>
      <c r="I269" s="16">
        <f>IF($A269="","",H269-G269)</f>
        <v/>
      </c>
      <c r="J269" s="19">
        <f>IF($A269="","",SUMIF(COMPRAS!$B:$B,$A269,COMPRAS!$L:$L))</f>
        <v/>
      </c>
      <c r="K269" s="19">
        <f>IF($A269="","",SUMIF(VENDAS!$B:$B,$A269,VENDAS!$K:$K))</f>
        <v/>
      </c>
      <c r="L269" s="14">
        <f>IF($A269="","",IF(F269&gt;=E269,"FECHADO","ABERTO"))</f>
        <v/>
      </c>
      <c r="M269" s="19">
        <f>IF($A269="","",K269-J269)</f>
        <v/>
      </c>
    </row>
    <row r="270">
      <c r="A270" s="21" t="n"/>
      <c r="B270" s="20">
        <f>IF(OR($A270="",COUNTIF(COMPRAS!$B:$B,$A270)=0),"",MINIFS(COMPRAS!$A:$A,COMPRAS!$B:$B,$A270))</f>
        <v/>
      </c>
      <c r="C270" s="20">
        <f>IF(OR($A270="",COUNTIF(VENDAS!$B:$B,$A270)=0),"",MAXIFS(VENDAS!$A:$A,VENDAS!$B:$B,$A270))</f>
        <v/>
      </c>
      <c r="D270" s="22">
        <f>IF(OR($A270="",B270=""),"",IF(C270="",TODAY()-B270,C270-B270))</f>
        <v/>
      </c>
      <c r="E270" s="22">
        <f>IF($A270="","",SUMIF(COMPRAS!$B:$B,$A270,COMPRAS!$E:$E))</f>
        <v/>
      </c>
      <c r="F270" s="22">
        <f>IF($A270="","",SUMIF(VENDAS!$B:$B,$A270,VENDAS!$D:$D))</f>
        <v/>
      </c>
      <c r="G270" s="23">
        <f>IF($A270="","",SUMIF(COMPRAS!$B:$B,$A270,COMPRAS!$F:$F))</f>
        <v/>
      </c>
      <c r="H270" s="23">
        <f>IF($A270="","",SUMIF(VENDAS!$B:$B,$A270,VENDAS!$E:$E))</f>
        <v/>
      </c>
      <c r="I270" s="23">
        <f>IF($A270="","",H270-G270)</f>
        <v/>
      </c>
      <c r="J270" s="26">
        <f>IF($A270="","",SUMIF(COMPRAS!$B:$B,$A270,COMPRAS!$L:$L))</f>
        <v/>
      </c>
      <c r="K270" s="26">
        <f>IF($A270="","",SUMIF(VENDAS!$B:$B,$A270,VENDAS!$K:$K))</f>
        <v/>
      </c>
      <c r="L270" s="21">
        <f>IF($A270="","",IF(F270&gt;=E270,"FECHADO","ABERTO"))</f>
        <v/>
      </c>
      <c r="M270" s="26">
        <f>IF($A270="","",K270-J270)</f>
        <v/>
      </c>
    </row>
    <row r="271">
      <c r="A271" s="14" t="n"/>
      <c r="B271" s="13">
        <f>IF(OR($A271="",COUNTIF(COMPRAS!$B:$B,$A271)=0),"",MINIFS(COMPRAS!$A:$A,COMPRAS!$B:$B,$A271))</f>
        <v/>
      </c>
      <c r="C271" s="13">
        <f>IF(OR($A271="",COUNTIF(VENDAS!$B:$B,$A271)=0),"",MAXIFS(VENDAS!$A:$A,VENDAS!$B:$B,$A271))</f>
        <v/>
      </c>
      <c r="D271" s="15">
        <f>IF(OR($A271="",B271=""),"",IF(C271="",TODAY()-B271,C271-B271))</f>
        <v/>
      </c>
      <c r="E271" s="15">
        <f>IF($A271="","",SUMIF(COMPRAS!$B:$B,$A271,COMPRAS!$E:$E))</f>
        <v/>
      </c>
      <c r="F271" s="15">
        <f>IF($A271="","",SUMIF(VENDAS!$B:$B,$A271,VENDAS!$D:$D))</f>
        <v/>
      </c>
      <c r="G271" s="16">
        <f>IF($A271="","",SUMIF(COMPRAS!$B:$B,$A271,COMPRAS!$F:$F))</f>
        <v/>
      </c>
      <c r="H271" s="16">
        <f>IF($A271="","",SUMIF(VENDAS!$B:$B,$A271,VENDAS!$E:$E))</f>
        <v/>
      </c>
      <c r="I271" s="16">
        <f>IF($A271="","",H271-G271)</f>
        <v/>
      </c>
      <c r="J271" s="19">
        <f>IF($A271="","",SUMIF(COMPRAS!$B:$B,$A271,COMPRAS!$L:$L))</f>
        <v/>
      </c>
      <c r="K271" s="19">
        <f>IF($A271="","",SUMIF(VENDAS!$B:$B,$A271,VENDAS!$K:$K))</f>
        <v/>
      </c>
      <c r="L271" s="14">
        <f>IF($A271="","",IF(F271&gt;=E271,"FECHADO","ABERTO"))</f>
        <v/>
      </c>
      <c r="M271" s="19">
        <f>IF($A271="","",K271-J271)</f>
        <v/>
      </c>
    </row>
    <row r="272">
      <c r="A272" s="21" t="n"/>
      <c r="B272" s="20">
        <f>IF(OR($A272="",COUNTIF(COMPRAS!$B:$B,$A272)=0),"",MINIFS(COMPRAS!$A:$A,COMPRAS!$B:$B,$A272))</f>
        <v/>
      </c>
      <c r="C272" s="20">
        <f>IF(OR($A272="",COUNTIF(VENDAS!$B:$B,$A272)=0),"",MAXIFS(VENDAS!$A:$A,VENDAS!$B:$B,$A272))</f>
        <v/>
      </c>
      <c r="D272" s="22">
        <f>IF(OR($A272="",B272=""),"",IF(C272="",TODAY()-B272,C272-B272))</f>
        <v/>
      </c>
      <c r="E272" s="22">
        <f>IF($A272="","",SUMIF(COMPRAS!$B:$B,$A272,COMPRAS!$E:$E))</f>
        <v/>
      </c>
      <c r="F272" s="22">
        <f>IF($A272="","",SUMIF(VENDAS!$B:$B,$A272,VENDAS!$D:$D))</f>
        <v/>
      </c>
      <c r="G272" s="23">
        <f>IF($A272="","",SUMIF(COMPRAS!$B:$B,$A272,COMPRAS!$F:$F))</f>
        <v/>
      </c>
      <c r="H272" s="23">
        <f>IF($A272="","",SUMIF(VENDAS!$B:$B,$A272,VENDAS!$E:$E))</f>
        <v/>
      </c>
      <c r="I272" s="23">
        <f>IF($A272="","",H272-G272)</f>
        <v/>
      </c>
      <c r="J272" s="26">
        <f>IF($A272="","",SUMIF(COMPRAS!$B:$B,$A272,COMPRAS!$L:$L))</f>
        <v/>
      </c>
      <c r="K272" s="26">
        <f>IF($A272="","",SUMIF(VENDAS!$B:$B,$A272,VENDAS!$K:$K))</f>
        <v/>
      </c>
      <c r="L272" s="21">
        <f>IF($A272="","",IF(F272&gt;=E272,"FECHADO","ABERTO"))</f>
        <v/>
      </c>
      <c r="M272" s="26">
        <f>IF($A272="","",K272-J272)</f>
        <v/>
      </c>
    </row>
    <row r="273">
      <c r="A273" s="14" t="n"/>
      <c r="B273" s="13">
        <f>IF(OR($A273="",COUNTIF(COMPRAS!$B:$B,$A273)=0),"",MINIFS(COMPRAS!$A:$A,COMPRAS!$B:$B,$A273))</f>
        <v/>
      </c>
      <c r="C273" s="13">
        <f>IF(OR($A273="",COUNTIF(VENDAS!$B:$B,$A273)=0),"",MAXIFS(VENDAS!$A:$A,VENDAS!$B:$B,$A273))</f>
        <v/>
      </c>
      <c r="D273" s="15">
        <f>IF(OR($A273="",B273=""),"",IF(C273="",TODAY()-B273,C273-B273))</f>
        <v/>
      </c>
      <c r="E273" s="15">
        <f>IF($A273="","",SUMIF(COMPRAS!$B:$B,$A273,COMPRAS!$E:$E))</f>
        <v/>
      </c>
      <c r="F273" s="15">
        <f>IF($A273="","",SUMIF(VENDAS!$B:$B,$A273,VENDAS!$D:$D))</f>
        <v/>
      </c>
      <c r="G273" s="16">
        <f>IF($A273="","",SUMIF(COMPRAS!$B:$B,$A273,COMPRAS!$F:$F))</f>
        <v/>
      </c>
      <c r="H273" s="16">
        <f>IF($A273="","",SUMIF(VENDAS!$B:$B,$A273,VENDAS!$E:$E))</f>
        <v/>
      </c>
      <c r="I273" s="16">
        <f>IF($A273="","",H273-G273)</f>
        <v/>
      </c>
      <c r="J273" s="19">
        <f>IF($A273="","",SUMIF(COMPRAS!$B:$B,$A273,COMPRAS!$L:$L))</f>
        <v/>
      </c>
      <c r="K273" s="19">
        <f>IF($A273="","",SUMIF(VENDAS!$B:$B,$A273,VENDAS!$K:$K))</f>
        <v/>
      </c>
      <c r="L273" s="14">
        <f>IF($A273="","",IF(F273&gt;=E273,"FECHADO","ABERTO"))</f>
        <v/>
      </c>
      <c r="M273" s="19">
        <f>IF($A273="","",K273-J273)</f>
        <v/>
      </c>
    </row>
    <row r="274">
      <c r="A274" s="21" t="n"/>
      <c r="B274" s="20">
        <f>IF(OR($A274="",COUNTIF(COMPRAS!$B:$B,$A274)=0),"",MINIFS(COMPRAS!$A:$A,COMPRAS!$B:$B,$A274))</f>
        <v/>
      </c>
      <c r="C274" s="20">
        <f>IF(OR($A274="",COUNTIF(VENDAS!$B:$B,$A274)=0),"",MAXIFS(VENDAS!$A:$A,VENDAS!$B:$B,$A274))</f>
        <v/>
      </c>
      <c r="D274" s="22">
        <f>IF(OR($A274="",B274=""),"",IF(C274="",TODAY()-B274,C274-B274))</f>
        <v/>
      </c>
      <c r="E274" s="22">
        <f>IF($A274="","",SUMIF(COMPRAS!$B:$B,$A274,COMPRAS!$E:$E))</f>
        <v/>
      </c>
      <c r="F274" s="22">
        <f>IF($A274="","",SUMIF(VENDAS!$B:$B,$A274,VENDAS!$D:$D))</f>
        <v/>
      </c>
      <c r="G274" s="23">
        <f>IF($A274="","",SUMIF(COMPRAS!$B:$B,$A274,COMPRAS!$F:$F))</f>
        <v/>
      </c>
      <c r="H274" s="23">
        <f>IF($A274="","",SUMIF(VENDAS!$B:$B,$A274,VENDAS!$E:$E))</f>
        <v/>
      </c>
      <c r="I274" s="23">
        <f>IF($A274="","",H274-G274)</f>
        <v/>
      </c>
      <c r="J274" s="26">
        <f>IF($A274="","",SUMIF(COMPRAS!$B:$B,$A274,COMPRAS!$L:$L))</f>
        <v/>
      </c>
      <c r="K274" s="26">
        <f>IF($A274="","",SUMIF(VENDAS!$B:$B,$A274,VENDAS!$K:$K))</f>
        <v/>
      </c>
      <c r="L274" s="21">
        <f>IF($A274="","",IF(F274&gt;=E274,"FECHADO","ABERTO"))</f>
        <v/>
      </c>
      <c r="M274" s="26">
        <f>IF($A274="","",K274-J274)</f>
        <v/>
      </c>
    </row>
    <row r="275">
      <c r="A275" s="14" t="n"/>
      <c r="B275" s="13">
        <f>IF(OR($A275="",COUNTIF(COMPRAS!$B:$B,$A275)=0),"",MINIFS(COMPRAS!$A:$A,COMPRAS!$B:$B,$A275))</f>
        <v/>
      </c>
      <c r="C275" s="13">
        <f>IF(OR($A275="",COUNTIF(VENDAS!$B:$B,$A275)=0),"",MAXIFS(VENDAS!$A:$A,VENDAS!$B:$B,$A275))</f>
        <v/>
      </c>
      <c r="D275" s="15">
        <f>IF(OR($A275="",B275=""),"",IF(C275="",TODAY()-B275,C275-B275))</f>
        <v/>
      </c>
      <c r="E275" s="15">
        <f>IF($A275="","",SUMIF(COMPRAS!$B:$B,$A275,COMPRAS!$E:$E))</f>
        <v/>
      </c>
      <c r="F275" s="15">
        <f>IF($A275="","",SUMIF(VENDAS!$B:$B,$A275,VENDAS!$D:$D))</f>
        <v/>
      </c>
      <c r="G275" s="16">
        <f>IF($A275="","",SUMIF(COMPRAS!$B:$B,$A275,COMPRAS!$F:$F))</f>
        <v/>
      </c>
      <c r="H275" s="16">
        <f>IF($A275="","",SUMIF(VENDAS!$B:$B,$A275,VENDAS!$E:$E))</f>
        <v/>
      </c>
      <c r="I275" s="16">
        <f>IF($A275="","",H275-G275)</f>
        <v/>
      </c>
      <c r="J275" s="19">
        <f>IF($A275="","",SUMIF(COMPRAS!$B:$B,$A275,COMPRAS!$L:$L))</f>
        <v/>
      </c>
      <c r="K275" s="19">
        <f>IF($A275="","",SUMIF(VENDAS!$B:$B,$A275,VENDAS!$K:$K))</f>
        <v/>
      </c>
      <c r="L275" s="14">
        <f>IF($A275="","",IF(F275&gt;=E275,"FECHADO","ABERTO"))</f>
        <v/>
      </c>
      <c r="M275" s="19">
        <f>IF($A275="","",K275-J275)</f>
        <v/>
      </c>
    </row>
    <row r="276">
      <c r="A276" s="21" t="n"/>
      <c r="B276" s="20">
        <f>IF(OR($A276="",COUNTIF(COMPRAS!$B:$B,$A276)=0),"",MINIFS(COMPRAS!$A:$A,COMPRAS!$B:$B,$A276))</f>
        <v/>
      </c>
      <c r="C276" s="20">
        <f>IF(OR($A276="",COUNTIF(VENDAS!$B:$B,$A276)=0),"",MAXIFS(VENDAS!$A:$A,VENDAS!$B:$B,$A276))</f>
        <v/>
      </c>
      <c r="D276" s="22">
        <f>IF(OR($A276="",B276=""),"",IF(C276="",TODAY()-B276,C276-B276))</f>
        <v/>
      </c>
      <c r="E276" s="22">
        <f>IF($A276="","",SUMIF(COMPRAS!$B:$B,$A276,COMPRAS!$E:$E))</f>
        <v/>
      </c>
      <c r="F276" s="22">
        <f>IF($A276="","",SUMIF(VENDAS!$B:$B,$A276,VENDAS!$D:$D))</f>
        <v/>
      </c>
      <c r="G276" s="23">
        <f>IF($A276="","",SUMIF(COMPRAS!$B:$B,$A276,COMPRAS!$F:$F))</f>
        <v/>
      </c>
      <c r="H276" s="23">
        <f>IF($A276="","",SUMIF(VENDAS!$B:$B,$A276,VENDAS!$E:$E))</f>
        <v/>
      </c>
      <c r="I276" s="23">
        <f>IF($A276="","",H276-G276)</f>
        <v/>
      </c>
      <c r="J276" s="26">
        <f>IF($A276="","",SUMIF(COMPRAS!$B:$B,$A276,COMPRAS!$L:$L))</f>
        <v/>
      </c>
      <c r="K276" s="26">
        <f>IF($A276="","",SUMIF(VENDAS!$B:$B,$A276,VENDAS!$K:$K))</f>
        <v/>
      </c>
      <c r="L276" s="21">
        <f>IF($A276="","",IF(F276&gt;=E276,"FECHADO","ABERTO"))</f>
        <v/>
      </c>
      <c r="M276" s="26">
        <f>IF($A276="","",K276-J276)</f>
        <v/>
      </c>
    </row>
    <row r="277">
      <c r="A277" s="14" t="n"/>
      <c r="B277" s="13">
        <f>IF(OR($A277="",COUNTIF(COMPRAS!$B:$B,$A277)=0),"",MINIFS(COMPRAS!$A:$A,COMPRAS!$B:$B,$A277))</f>
        <v/>
      </c>
      <c r="C277" s="13">
        <f>IF(OR($A277="",COUNTIF(VENDAS!$B:$B,$A277)=0),"",MAXIFS(VENDAS!$A:$A,VENDAS!$B:$B,$A277))</f>
        <v/>
      </c>
      <c r="D277" s="15">
        <f>IF(OR($A277="",B277=""),"",IF(C277="",TODAY()-B277,C277-B277))</f>
        <v/>
      </c>
      <c r="E277" s="15">
        <f>IF($A277="","",SUMIF(COMPRAS!$B:$B,$A277,COMPRAS!$E:$E))</f>
        <v/>
      </c>
      <c r="F277" s="15">
        <f>IF($A277="","",SUMIF(VENDAS!$B:$B,$A277,VENDAS!$D:$D))</f>
        <v/>
      </c>
      <c r="G277" s="16">
        <f>IF($A277="","",SUMIF(COMPRAS!$B:$B,$A277,COMPRAS!$F:$F))</f>
        <v/>
      </c>
      <c r="H277" s="16">
        <f>IF($A277="","",SUMIF(VENDAS!$B:$B,$A277,VENDAS!$E:$E))</f>
        <v/>
      </c>
      <c r="I277" s="16">
        <f>IF($A277="","",H277-G277)</f>
        <v/>
      </c>
      <c r="J277" s="19">
        <f>IF($A277="","",SUMIF(COMPRAS!$B:$B,$A277,COMPRAS!$L:$L))</f>
        <v/>
      </c>
      <c r="K277" s="19">
        <f>IF($A277="","",SUMIF(VENDAS!$B:$B,$A277,VENDAS!$K:$K))</f>
        <v/>
      </c>
      <c r="L277" s="14">
        <f>IF($A277="","",IF(F277&gt;=E277,"FECHADO","ABERTO"))</f>
        <v/>
      </c>
      <c r="M277" s="19">
        <f>IF($A277="","",K277-J277)</f>
        <v/>
      </c>
    </row>
    <row r="278">
      <c r="A278" s="21" t="n"/>
      <c r="B278" s="20">
        <f>IF(OR($A278="",COUNTIF(COMPRAS!$B:$B,$A278)=0),"",MINIFS(COMPRAS!$A:$A,COMPRAS!$B:$B,$A278))</f>
        <v/>
      </c>
      <c r="C278" s="20">
        <f>IF(OR($A278="",COUNTIF(VENDAS!$B:$B,$A278)=0),"",MAXIFS(VENDAS!$A:$A,VENDAS!$B:$B,$A278))</f>
        <v/>
      </c>
      <c r="D278" s="22">
        <f>IF(OR($A278="",B278=""),"",IF(C278="",TODAY()-B278,C278-B278))</f>
        <v/>
      </c>
      <c r="E278" s="22">
        <f>IF($A278="","",SUMIF(COMPRAS!$B:$B,$A278,COMPRAS!$E:$E))</f>
        <v/>
      </c>
      <c r="F278" s="22">
        <f>IF($A278="","",SUMIF(VENDAS!$B:$B,$A278,VENDAS!$D:$D))</f>
        <v/>
      </c>
      <c r="G278" s="23">
        <f>IF($A278="","",SUMIF(COMPRAS!$B:$B,$A278,COMPRAS!$F:$F))</f>
        <v/>
      </c>
      <c r="H278" s="23">
        <f>IF($A278="","",SUMIF(VENDAS!$B:$B,$A278,VENDAS!$E:$E))</f>
        <v/>
      </c>
      <c r="I278" s="23">
        <f>IF($A278="","",H278-G278)</f>
        <v/>
      </c>
      <c r="J278" s="26">
        <f>IF($A278="","",SUMIF(COMPRAS!$B:$B,$A278,COMPRAS!$L:$L))</f>
        <v/>
      </c>
      <c r="K278" s="26">
        <f>IF($A278="","",SUMIF(VENDAS!$B:$B,$A278,VENDAS!$K:$K))</f>
        <v/>
      </c>
      <c r="L278" s="21">
        <f>IF($A278="","",IF(F278&gt;=E278,"FECHADO","ABERTO"))</f>
        <v/>
      </c>
      <c r="M278" s="26">
        <f>IF($A278="","",K278-J278)</f>
        <v/>
      </c>
    </row>
    <row r="279">
      <c r="A279" s="14" t="n"/>
      <c r="B279" s="13">
        <f>IF(OR($A279="",COUNTIF(COMPRAS!$B:$B,$A279)=0),"",MINIFS(COMPRAS!$A:$A,COMPRAS!$B:$B,$A279))</f>
        <v/>
      </c>
      <c r="C279" s="13">
        <f>IF(OR($A279="",COUNTIF(VENDAS!$B:$B,$A279)=0),"",MAXIFS(VENDAS!$A:$A,VENDAS!$B:$B,$A279))</f>
        <v/>
      </c>
      <c r="D279" s="15">
        <f>IF(OR($A279="",B279=""),"",IF(C279="",TODAY()-B279,C279-B279))</f>
        <v/>
      </c>
      <c r="E279" s="15">
        <f>IF($A279="","",SUMIF(COMPRAS!$B:$B,$A279,COMPRAS!$E:$E))</f>
        <v/>
      </c>
      <c r="F279" s="15">
        <f>IF($A279="","",SUMIF(VENDAS!$B:$B,$A279,VENDAS!$D:$D))</f>
        <v/>
      </c>
      <c r="G279" s="16">
        <f>IF($A279="","",SUMIF(COMPRAS!$B:$B,$A279,COMPRAS!$F:$F))</f>
        <v/>
      </c>
      <c r="H279" s="16">
        <f>IF($A279="","",SUMIF(VENDAS!$B:$B,$A279,VENDAS!$E:$E))</f>
        <v/>
      </c>
      <c r="I279" s="16">
        <f>IF($A279="","",H279-G279)</f>
        <v/>
      </c>
      <c r="J279" s="19">
        <f>IF($A279="","",SUMIF(COMPRAS!$B:$B,$A279,COMPRAS!$L:$L))</f>
        <v/>
      </c>
      <c r="K279" s="19">
        <f>IF($A279="","",SUMIF(VENDAS!$B:$B,$A279,VENDAS!$K:$K))</f>
        <v/>
      </c>
      <c r="L279" s="14">
        <f>IF($A279="","",IF(F279&gt;=E279,"FECHADO","ABERTO"))</f>
        <v/>
      </c>
      <c r="M279" s="19">
        <f>IF($A279="","",K279-J279)</f>
        <v/>
      </c>
    </row>
    <row r="280">
      <c r="A280" s="21" t="n"/>
      <c r="B280" s="20">
        <f>IF(OR($A280="",COUNTIF(COMPRAS!$B:$B,$A280)=0),"",MINIFS(COMPRAS!$A:$A,COMPRAS!$B:$B,$A280))</f>
        <v/>
      </c>
      <c r="C280" s="20">
        <f>IF(OR($A280="",COUNTIF(VENDAS!$B:$B,$A280)=0),"",MAXIFS(VENDAS!$A:$A,VENDAS!$B:$B,$A280))</f>
        <v/>
      </c>
      <c r="D280" s="22">
        <f>IF(OR($A280="",B280=""),"",IF(C280="",TODAY()-B280,C280-B280))</f>
        <v/>
      </c>
      <c r="E280" s="22">
        <f>IF($A280="","",SUMIF(COMPRAS!$B:$B,$A280,COMPRAS!$E:$E))</f>
        <v/>
      </c>
      <c r="F280" s="22">
        <f>IF($A280="","",SUMIF(VENDAS!$B:$B,$A280,VENDAS!$D:$D))</f>
        <v/>
      </c>
      <c r="G280" s="23">
        <f>IF($A280="","",SUMIF(COMPRAS!$B:$B,$A280,COMPRAS!$F:$F))</f>
        <v/>
      </c>
      <c r="H280" s="23">
        <f>IF($A280="","",SUMIF(VENDAS!$B:$B,$A280,VENDAS!$E:$E))</f>
        <v/>
      </c>
      <c r="I280" s="23">
        <f>IF($A280="","",H280-G280)</f>
        <v/>
      </c>
      <c r="J280" s="26">
        <f>IF($A280="","",SUMIF(COMPRAS!$B:$B,$A280,COMPRAS!$L:$L))</f>
        <v/>
      </c>
      <c r="K280" s="26">
        <f>IF($A280="","",SUMIF(VENDAS!$B:$B,$A280,VENDAS!$K:$K))</f>
        <v/>
      </c>
      <c r="L280" s="21">
        <f>IF($A280="","",IF(F280&gt;=E280,"FECHADO","ABERTO"))</f>
        <v/>
      </c>
      <c r="M280" s="26">
        <f>IF($A280="","",K280-J280)</f>
        <v/>
      </c>
    </row>
    <row r="281">
      <c r="A281" s="14" t="n"/>
      <c r="B281" s="13">
        <f>IF(OR($A281="",COUNTIF(COMPRAS!$B:$B,$A281)=0),"",MINIFS(COMPRAS!$A:$A,COMPRAS!$B:$B,$A281))</f>
        <v/>
      </c>
      <c r="C281" s="13">
        <f>IF(OR($A281="",COUNTIF(VENDAS!$B:$B,$A281)=0),"",MAXIFS(VENDAS!$A:$A,VENDAS!$B:$B,$A281))</f>
        <v/>
      </c>
      <c r="D281" s="15">
        <f>IF(OR($A281="",B281=""),"",IF(C281="",TODAY()-B281,C281-B281))</f>
        <v/>
      </c>
      <c r="E281" s="15">
        <f>IF($A281="","",SUMIF(COMPRAS!$B:$B,$A281,COMPRAS!$E:$E))</f>
        <v/>
      </c>
      <c r="F281" s="15">
        <f>IF($A281="","",SUMIF(VENDAS!$B:$B,$A281,VENDAS!$D:$D))</f>
        <v/>
      </c>
      <c r="G281" s="16">
        <f>IF($A281="","",SUMIF(COMPRAS!$B:$B,$A281,COMPRAS!$F:$F))</f>
        <v/>
      </c>
      <c r="H281" s="16">
        <f>IF($A281="","",SUMIF(VENDAS!$B:$B,$A281,VENDAS!$E:$E))</f>
        <v/>
      </c>
      <c r="I281" s="16">
        <f>IF($A281="","",H281-G281)</f>
        <v/>
      </c>
      <c r="J281" s="19">
        <f>IF($A281="","",SUMIF(COMPRAS!$B:$B,$A281,COMPRAS!$L:$L))</f>
        <v/>
      </c>
      <c r="K281" s="19">
        <f>IF($A281="","",SUMIF(VENDAS!$B:$B,$A281,VENDAS!$K:$K))</f>
        <v/>
      </c>
      <c r="L281" s="14">
        <f>IF($A281="","",IF(F281&gt;=E281,"FECHADO","ABERTO"))</f>
        <v/>
      </c>
      <c r="M281" s="19">
        <f>IF($A281="","",K281-J281)</f>
        <v/>
      </c>
    </row>
    <row r="282">
      <c r="A282" s="21" t="n"/>
      <c r="B282" s="20">
        <f>IF(OR($A282="",COUNTIF(COMPRAS!$B:$B,$A282)=0),"",MINIFS(COMPRAS!$A:$A,COMPRAS!$B:$B,$A282))</f>
        <v/>
      </c>
      <c r="C282" s="20">
        <f>IF(OR($A282="",COUNTIF(VENDAS!$B:$B,$A282)=0),"",MAXIFS(VENDAS!$A:$A,VENDAS!$B:$B,$A282))</f>
        <v/>
      </c>
      <c r="D282" s="22">
        <f>IF(OR($A282="",B282=""),"",IF(C282="",TODAY()-B282,C282-B282))</f>
        <v/>
      </c>
      <c r="E282" s="22">
        <f>IF($A282="","",SUMIF(COMPRAS!$B:$B,$A282,COMPRAS!$E:$E))</f>
        <v/>
      </c>
      <c r="F282" s="22">
        <f>IF($A282="","",SUMIF(VENDAS!$B:$B,$A282,VENDAS!$D:$D))</f>
        <v/>
      </c>
      <c r="G282" s="23">
        <f>IF($A282="","",SUMIF(COMPRAS!$B:$B,$A282,COMPRAS!$F:$F))</f>
        <v/>
      </c>
      <c r="H282" s="23">
        <f>IF($A282="","",SUMIF(VENDAS!$B:$B,$A282,VENDAS!$E:$E))</f>
        <v/>
      </c>
      <c r="I282" s="23">
        <f>IF($A282="","",H282-G282)</f>
        <v/>
      </c>
      <c r="J282" s="26">
        <f>IF($A282="","",SUMIF(COMPRAS!$B:$B,$A282,COMPRAS!$L:$L))</f>
        <v/>
      </c>
      <c r="K282" s="26">
        <f>IF($A282="","",SUMIF(VENDAS!$B:$B,$A282,VENDAS!$K:$K))</f>
        <v/>
      </c>
      <c r="L282" s="21">
        <f>IF($A282="","",IF(F282&gt;=E282,"FECHADO","ABERTO"))</f>
        <v/>
      </c>
      <c r="M282" s="26">
        <f>IF($A282="","",K282-J282)</f>
        <v/>
      </c>
    </row>
    <row r="283">
      <c r="A283" s="14" t="n"/>
      <c r="B283" s="13">
        <f>IF(OR($A283="",COUNTIF(COMPRAS!$B:$B,$A283)=0),"",MINIFS(COMPRAS!$A:$A,COMPRAS!$B:$B,$A283))</f>
        <v/>
      </c>
      <c r="C283" s="13">
        <f>IF(OR($A283="",COUNTIF(VENDAS!$B:$B,$A283)=0),"",MAXIFS(VENDAS!$A:$A,VENDAS!$B:$B,$A283))</f>
        <v/>
      </c>
      <c r="D283" s="15">
        <f>IF(OR($A283="",B283=""),"",IF(C283="",TODAY()-B283,C283-B283))</f>
        <v/>
      </c>
      <c r="E283" s="15">
        <f>IF($A283="","",SUMIF(COMPRAS!$B:$B,$A283,COMPRAS!$E:$E))</f>
        <v/>
      </c>
      <c r="F283" s="15">
        <f>IF($A283="","",SUMIF(VENDAS!$B:$B,$A283,VENDAS!$D:$D))</f>
        <v/>
      </c>
      <c r="G283" s="16">
        <f>IF($A283="","",SUMIF(COMPRAS!$B:$B,$A283,COMPRAS!$F:$F))</f>
        <v/>
      </c>
      <c r="H283" s="16">
        <f>IF($A283="","",SUMIF(VENDAS!$B:$B,$A283,VENDAS!$E:$E))</f>
        <v/>
      </c>
      <c r="I283" s="16">
        <f>IF($A283="","",H283-G283)</f>
        <v/>
      </c>
      <c r="J283" s="19">
        <f>IF($A283="","",SUMIF(COMPRAS!$B:$B,$A283,COMPRAS!$L:$L))</f>
        <v/>
      </c>
      <c r="K283" s="19">
        <f>IF($A283="","",SUMIF(VENDAS!$B:$B,$A283,VENDAS!$K:$K))</f>
        <v/>
      </c>
      <c r="L283" s="14">
        <f>IF($A283="","",IF(F283&gt;=E283,"FECHADO","ABERTO"))</f>
        <v/>
      </c>
      <c r="M283" s="19">
        <f>IF($A283="","",K283-J283)</f>
        <v/>
      </c>
    </row>
    <row r="284">
      <c r="A284" s="21" t="n"/>
      <c r="B284" s="20">
        <f>IF(OR($A284="",COUNTIF(COMPRAS!$B:$B,$A284)=0),"",MINIFS(COMPRAS!$A:$A,COMPRAS!$B:$B,$A284))</f>
        <v/>
      </c>
      <c r="C284" s="20">
        <f>IF(OR($A284="",COUNTIF(VENDAS!$B:$B,$A284)=0),"",MAXIFS(VENDAS!$A:$A,VENDAS!$B:$B,$A284))</f>
        <v/>
      </c>
      <c r="D284" s="22">
        <f>IF(OR($A284="",B284=""),"",IF(C284="",TODAY()-B284,C284-B284))</f>
        <v/>
      </c>
      <c r="E284" s="22">
        <f>IF($A284="","",SUMIF(COMPRAS!$B:$B,$A284,COMPRAS!$E:$E))</f>
        <v/>
      </c>
      <c r="F284" s="22">
        <f>IF($A284="","",SUMIF(VENDAS!$B:$B,$A284,VENDAS!$D:$D))</f>
        <v/>
      </c>
      <c r="G284" s="23">
        <f>IF($A284="","",SUMIF(COMPRAS!$B:$B,$A284,COMPRAS!$F:$F))</f>
        <v/>
      </c>
      <c r="H284" s="23">
        <f>IF($A284="","",SUMIF(VENDAS!$B:$B,$A284,VENDAS!$E:$E))</f>
        <v/>
      </c>
      <c r="I284" s="23">
        <f>IF($A284="","",H284-G284)</f>
        <v/>
      </c>
      <c r="J284" s="26">
        <f>IF($A284="","",SUMIF(COMPRAS!$B:$B,$A284,COMPRAS!$L:$L))</f>
        <v/>
      </c>
      <c r="K284" s="26">
        <f>IF($A284="","",SUMIF(VENDAS!$B:$B,$A284,VENDAS!$K:$K))</f>
        <v/>
      </c>
      <c r="L284" s="21">
        <f>IF($A284="","",IF(F284&gt;=E284,"FECHADO","ABERTO"))</f>
        <v/>
      </c>
      <c r="M284" s="26">
        <f>IF($A284="","",K284-J284)</f>
        <v/>
      </c>
    </row>
    <row r="285">
      <c r="A285" s="14" t="n"/>
      <c r="B285" s="13">
        <f>IF(OR($A285="",COUNTIF(COMPRAS!$B:$B,$A285)=0),"",MINIFS(COMPRAS!$A:$A,COMPRAS!$B:$B,$A285))</f>
        <v/>
      </c>
      <c r="C285" s="13">
        <f>IF(OR($A285="",COUNTIF(VENDAS!$B:$B,$A285)=0),"",MAXIFS(VENDAS!$A:$A,VENDAS!$B:$B,$A285))</f>
        <v/>
      </c>
      <c r="D285" s="15">
        <f>IF(OR($A285="",B285=""),"",IF(C285="",TODAY()-B285,C285-B285))</f>
        <v/>
      </c>
      <c r="E285" s="15">
        <f>IF($A285="","",SUMIF(COMPRAS!$B:$B,$A285,COMPRAS!$E:$E))</f>
        <v/>
      </c>
      <c r="F285" s="15">
        <f>IF($A285="","",SUMIF(VENDAS!$B:$B,$A285,VENDAS!$D:$D))</f>
        <v/>
      </c>
      <c r="G285" s="16">
        <f>IF($A285="","",SUMIF(COMPRAS!$B:$B,$A285,COMPRAS!$F:$F))</f>
        <v/>
      </c>
      <c r="H285" s="16">
        <f>IF($A285="","",SUMIF(VENDAS!$B:$B,$A285,VENDAS!$E:$E))</f>
        <v/>
      </c>
      <c r="I285" s="16">
        <f>IF($A285="","",H285-G285)</f>
        <v/>
      </c>
      <c r="J285" s="19">
        <f>IF($A285="","",SUMIF(COMPRAS!$B:$B,$A285,COMPRAS!$L:$L))</f>
        <v/>
      </c>
      <c r="K285" s="19">
        <f>IF($A285="","",SUMIF(VENDAS!$B:$B,$A285,VENDAS!$K:$K))</f>
        <v/>
      </c>
      <c r="L285" s="14">
        <f>IF($A285="","",IF(F285&gt;=E285,"FECHADO","ABERTO"))</f>
        <v/>
      </c>
      <c r="M285" s="19">
        <f>IF($A285="","",K285-J285)</f>
        <v/>
      </c>
    </row>
    <row r="286">
      <c r="A286" s="21" t="n"/>
      <c r="B286" s="20">
        <f>IF(OR($A286="",COUNTIF(COMPRAS!$B:$B,$A286)=0),"",MINIFS(COMPRAS!$A:$A,COMPRAS!$B:$B,$A286))</f>
        <v/>
      </c>
      <c r="C286" s="20">
        <f>IF(OR($A286="",COUNTIF(VENDAS!$B:$B,$A286)=0),"",MAXIFS(VENDAS!$A:$A,VENDAS!$B:$B,$A286))</f>
        <v/>
      </c>
      <c r="D286" s="22">
        <f>IF(OR($A286="",B286=""),"",IF(C286="",TODAY()-B286,C286-B286))</f>
        <v/>
      </c>
      <c r="E286" s="22">
        <f>IF($A286="","",SUMIF(COMPRAS!$B:$B,$A286,COMPRAS!$E:$E))</f>
        <v/>
      </c>
      <c r="F286" s="22">
        <f>IF($A286="","",SUMIF(VENDAS!$B:$B,$A286,VENDAS!$D:$D))</f>
        <v/>
      </c>
      <c r="G286" s="23">
        <f>IF($A286="","",SUMIF(COMPRAS!$B:$B,$A286,COMPRAS!$F:$F))</f>
        <v/>
      </c>
      <c r="H286" s="23">
        <f>IF($A286="","",SUMIF(VENDAS!$B:$B,$A286,VENDAS!$E:$E))</f>
        <v/>
      </c>
      <c r="I286" s="23">
        <f>IF($A286="","",H286-G286)</f>
        <v/>
      </c>
      <c r="J286" s="26">
        <f>IF($A286="","",SUMIF(COMPRAS!$B:$B,$A286,COMPRAS!$L:$L))</f>
        <v/>
      </c>
      <c r="K286" s="26">
        <f>IF($A286="","",SUMIF(VENDAS!$B:$B,$A286,VENDAS!$K:$K))</f>
        <v/>
      </c>
      <c r="L286" s="21">
        <f>IF($A286="","",IF(F286&gt;=E286,"FECHADO","ABERTO"))</f>
        <v/>
      </c>
      <c r="M286" s="26">
        <f>IF($A286="","",K286-J286)</f>
        <v/>
      </c>
    </row>
    <row r="287">
      <c r="A287" s="14" t="n"/>
      <c r="B287" s="13">
        <f>IF(OR($A287="",COUNTIF(COMPRAS!$B:$B,$A287)=0),"",MINIFS(COMPRAS!$A:$A,COMPRAS!$B:$B,$A287))</f>
        <v/>
      </c>
      <c r="C287" s="13">
        <f>IF(OR($A287="",COUNTIF(VENDAS!$B:$B,$A287)=0),"",MAXIFS(VENDAS!$A:$A,VENDAS!$B:$B,$A287))</f>
        <v/>
      </c>
      <c r="D287" s="15">
        <f>IF(OR($A287="",B287=""),"",IF(C287="",TODAY()-B287,C287-B287))</f>
        <v/>
      </c>
      <c r="E287" s="15">
        <f>IF($A287="","",SUMIF(COMPRAS!$B:$B,$A287,COMPRAS!$E:$E))</f>
        <v/>
      </c>
      <c r="F287" s="15">
        <f>IF($A287="","",SUMIF(VENDAS!$B:$B,$A287,VENDAS!$D:$D))</f>
        <v/>
      </c>
      <c r="G287" s="16">
        <f>IF($A287="","",SUMIF(COMPRAS!$B:$B,$A287,COMPRAS!$F:$F))</f>
        <v/>
      </c>
      <c r="H287" s="16">
        <f>IF($A287="","",SUMIF(VENDAS!$B:$B,$A287,VENDAS!$E:$E))</f>
        <v/>
      </c>
      <c r="I287" s="16">
        <f>IF($A287="","",H287-G287)</f>
        <v/>
      </c>
      <c r="J287" s="19">
        <f>IF($A287="","",SUMIF(COMPRAS!$B:$B,$A287,COMPRAS!$L:$L))</f>
        <v/>
      </c>
      <c r="K287" s="19">
        <f>IF($A287="","",SUMIF(VENDAS!$B:$B,$A287,VENDAS!$K:$K))</f>
        <v/>
      </c>
      <c r="L287" s="14">
        <f>IF($A287="","",IF(F287&gt;=E287,"FECHADO","ABERTO"))</f>
        <v/>
      </c>
      <c r="M287" s="19">
        <f>IF($A287="","",K287-J287)</f>
        <v/>
      </c>
    </row>
    <row r="288">
      <c r="A288" s="21" t="n"/>
      <c r="B288" s="20">
        <f>IF(OR($A288="",COUNTIF(COMPRAS!$B:$B,$A288)=0),"",MINIFS(COMPRAS!$A:$A,COMPRAS!$B:$B,$A288))</f>
        <v/>
      </c>
      <c r="C288" s="20">
        <f>IF(OR($A288="",COUNTIF(VENDAS!$B:$B,$A288)=0),"",MAXIFS(VENDAS!$A:$A,VENDAS!$B:$B,$A288))</f>
        <v/>
      </c>
      <c r="D288" s="22">
        <f>IF(OR($A288="",B288=""),"",IF(C288="",TODAY()-B288,C288-B288))</f>
        <v/>
      </c>
      <c r="E288" s="22">
        <f>IF($A288="","",SUMIF(COMPRAS!$B:$B,$A288,COMPRAS!$E:$E))</f>
        <v/>
      </c>
      <c r="F288" s="22">
        <f>IF($A288="","",SUMIF(VENDAS!$B:$B,$A288,VENDAS!$D:$D))</f>
        <v/>
      </c>
      <c r="G288" s="23">
        <f>IF($A288="","",SUMIF(COMPRAS!$B:$B,$A288,COMPRAS!$F:$F))</f>
        <v/>
      </c>
      <c r="H288" s="23">
        <f>IF($A288="","",SUMIF(VENDAS!$B:$B,$A288,VENDAS!$E:$E))</f>
        <v/>
      </c>
      <c r="I288" s="23">
        <f>IF($A288="","",H288-G288)</f>
        <v/>
      </c>
      <c r="J288" s="26">
        <f>IF($A288="","",SUMIF(COMPRAS!$B:$B,$A288,COMPRAS!$L:$L))</f>
        <v/>
      </c>
      <c r="K288" s="26">
        <f>IF($A288="","",SUMIF(VENDAS!$B:$B,$A288,VENDAS!$K:$K))</f>
        <v/>
      </c>
      <c r="L288" s="21">
        <f>IF($A288="","",IF(F288&gt;=E288,"FECHADO","ABERTO"))</f>
        <v/>
      </c>
      <c r="M288" s="26">
        <f>IF($A288="","",K288-J288)</f>
        <v/>
      </c>
    </row>
    <row r="289">
      <c r="A289" s="14" t="n"/>
      <c r="B289" s="13">
        <f>IF(OR($A289="",COUNTIF(COMPRAS!$B:$B,$A289)=0),"",MINIFS(COMPRAS!$A:$A,COMPRAS!$B:$B,$A289))</f>
        <v/>
      </c>
      <c r="C289" s="13">
        <f>IF(OR($A289="",COUNTIF(VENDAS!$B:$B,$A289)=0),"",MAXIFS(VENDAS!$A:$A,VENDAS!$B:$B,$A289))</f>
        <v/>
      </c>
      <c r="D289" s="15">
        <f>IF(OR($A289="",B289=""),"",IF(C289="",TODAY()-B289,C289-B289))</f>
        <v/>
      </c>
      <c r="E289" s="15">
        <f>IF($A289="","",SUMIF(COMPRAS!$B:$B,$A289,COMPRAS!$E:$E))</f>
        <v/>
      </c>
      <c r="F289" s="15">
        <f>IF($A289="","",SUMIF(VENDAS!$B:$B,$A289,VENDAS!$D:$D))</f>
        <v/>
      </c>
      <c r="G289" s="16">
        <f>IF($A289="","",SUMIF(COMPRAS!$B:$B,$A289,COMPRAS!$F:$F))</f>
        <v/>
      </c>
      <c r="H289" s="16">
        <f>IF($A289="","",SUMIF(VENDAS!$B:$B,$A289,VENDAS!$E:$E))</f>
        <v/>
      </c>
      <c r="I289" s="16">
        <f>IF($A289="","",H289-G289)</f>
        <v/>
      </c>
      <c r="J289" s="19">
        <f>IF($A289="","",SUMIF(COMPRAS!$B:$B,$A289,COMPRAS!$L:$L))</f>
        <v/>
      </c>
      <c r="K289" s="19">
        <f>IF($A289="","",SUMIF(VENDAS!$B:$B,$A289,VENDAS!$K:$K))</f>
        <v/>
      </c>
      <c r="L289" s="14">
        <f>IF($A289="","",IF(F289&gt;=E289,"FECHADO","ABERTO"))</f>
        <v/>
      </c>
      <c r="M289" s="19">
        <f>IF($A289="","",K289-J289)</f>
        <v/>
      </c>
    </row>
    <row r="290">
      <c r="A290" s="21" t="n"/>
      <c r="B290" s="20">
        <f>IF(OR($A290="",COUNTIF(COMPRAS!$B:$B,$A290)=0),"",MINIFS(COMPRAS!$A:$A,COMPRAS!$B:$B,$A290))</f>
        <v/>
      </c>
      <c r="C290" s="20">
        <f>IF(OR($A290="",COUNTIF(VENDAS!$B:$B,$A290)=0),"",MAXIFS(VENDAS!$A:$A,VENDAS!$B:$B,$A290))</f>
        <v/>
      </c>
      <c r="D290" s="22">
        <f>IF(OR($A290="",B290=""),"",IF(C290="",TODAY()-B290,C290-B290))</f>
        <v/>
      </c>
      <c r="E290" s="22">
        <f>IF($A290="","",SUMIF(COMPRAS!$B:$B,$A290,COMPRAS!$E:$E))</f>
        <v/>
      </c>
      <c r="F290" s="22">
        <f>IF($A290="","",SUMIF(VENDAS!$B:$B,$A290,VENDAS!$D:$D))</f>
        <v/>
      </c>
      <c r="G290" s="23">
        <f>IF($A290="","",SUMIF(COMPRAS!$B:$B,$A290,COMPRAS!$F:$F))</f>
        <v/>
      </c>
      <c r="H290" s="23">
        <f>IF($A290="","",SUMIF(VENDAS!$B:$B,$A290,VENDAS!$E:$E))</f>
        <v/>
      </c>
      <c r="I290" s="23">
        <f>IF($A290="","",H290-G290)</f>
        <v/>
      </c>
      <c r="J290" s="26">
        <f>IF($A290="","",SUMIF(COMPRAS!$B:$B,$A290,COMPRAS!$L:$L))</f>
        <v/>
      </c>
      <c r="K290" s="26">
        <f>IF($A290="","",SUMIF(VENDAS!$B:$B,$A290,VENDAS!$K:$K))</f>
        <v/>
      </c>
      <c r="L290" s="21">
        <f>IF($A290="","",IF(F290&gt;=E290,"FECHADO","ABERTO"))</f>
        <v/>
      </c>
      <c r="M290" s="26">
        <f>IF($A290="","",K290-J290)</f>
        <v/>
      </c>
    </row>
    <row r="291">
      <c r="A291" s="14" t="n"/>
      <c r="B291" s="13">
        <f>IF(OR($A291="",COUNTIF(COMPRAS!$B:$B,$A291)=0),"",MINIFS(COMPRAS!$A:$A,COMPRAS!$B:$B,$A291))</f>
        <v/>
      </c>
      <c r="C291" s="13">
        <f>IF(OR($A291="",COUNTIF(VENDAS!$B:$B,$A291)=0),"",MAXIFS(VENDAS!$A:$A,VENDAS!$B:$B,$A291))</f>
        <v/>
      </c>
      <c r="D291" s="15">
        <f>IF(OR($A291="",B291=""),"",IF(C291="",TODAY()-B291,C291-B291))</f>
        <v/>
      </c>
      <c r="E291" s="15">
        <f>IF($A291="","",SUMIF(COMPRAS!$B:$B,$A291,COMPRAS!$E:$E))</f>
        <v/>
      </c>
      <c r="F291" s="15">
        <f>IF($A291="","",SUMIF(VENDAS!$B:$B,$A291,VENDAS!$D:$D))</f>
        <v/>
      </c>
      <c r="G291" s="16">
        <f>IF($A291="","",SUMIF(COMPRAS!$B:$B,$A291,COMPRAS!$F:$F))</f>
        <v/>
      </c>
      <c r="H291" s="16">
        <f>IF($A291="","",SUMIF(VENDAS!$B:$B,$A291,VENDAS!$E:$E))</f>
        <v/>
      </c>
      <c r="I291" s="16">
        <f>IF($A291="","",H291-G291)</f>
        <v/>
      </c>
      <c r="J291" s="19">
        <f>IF($A291="","",SUMIF(COMPRAS!$B:$B,$A291,COMPRAS!$L:$L))</f>
        <v/>
      </c>
      <c r="K291" s="19">
        <f>IF($A291="","",SUMIF(VENDAS!$B:$B,$A291,VENDAS!$K:$K))</f>
        <v/>
      </c>
      <c r="L291" s="14">
        <f>IF($A291="","",IF(F291&gt;=E291,"FECHADO","ABERTO"))</f>
        <v/>
      </c>
      <c r="M291" s="19">
        <f>IF($A291="","",K291-J291)</f>
        <v/>
      </c>
    </row>
    <row r="292">
      <c r="A292" s="21" t="n"/>
      <c r="B292" s="20">
        <f>IF(OR($A292="",COUNTIF(COMPRAS!$B:$B,$A292)=0),"",MINIFS(COMPRAS!$A:$A,COMPRAS!$B:$B,$A292))</f>
        <v/>
      </c>
      <c r="C292" s="20">
        <f>IF(OR($A292="",COUNTIF(VENDAS!$B:$B,$A292)=0),"",MAXIFS(VENDAS!$A:$A,VENDAS!$B:$B,$A292))</f>
        <v/>
      </c>
      <c r="D292" s="22">
        <f>IF(OR($A292="",B292=""),"",IF(C292="",TODAY()-B292,C292-B292))</f>
        <v/>
      </c>
      <c r="E292" s="22">
        <f>IF($A292="","",SUMIF(COMPRAS!$B:$B,$A292,COMPRAS!$E:$E))</f>
        <v/>
      </c>
      <c r="F292" s="22">
        <f>IF($A292="","",SUMIF(VENDAS!$B:$B,$A292,VENDAS!$D:$D))</f>
        <v/>
      </c>
      <c r="G292" s="23">
        <f>IF($A292="","",SUMIF(COMPRAS!$B:$B,$A292,COMPRAS!$F:$F))</f>
        <v/>
      </c>
      <c r="H292" s="23">
        <f>IF($A292="","",SUMIF(VENDAS!$B:$B,$A292,VENDAS!$E:$E))</f>
        <v/>
      </c>
      <c r="I292" s="23">
        <f>IF($A292="","",H292-G292)</f>
        <v/>
      </c>
      <c r="J292" s="26">
        <f>IF($A292="","",SUMIF(COMPRAS!$B:$B,$A292,COMPRAS!$L:$L))</f>
        <v/>
      </c>
      <c r="K292" s="26">
        <f>IF($A292="","",SUMIF(VENDAS!$B:$B,$A292,VENDAS!$K:$K))</f>
        <v/>
      </c>
      <c r="L292" s="21">
        <f>IF($A292="","",IF(F292&gt;=E292,"FECHADO","ABERTO"))</f>
        <v/>
      </c>
      <c r="M292" s="26">
        <f>IF($A292="","",K292-J292)</f>
        <v/>
      </c>
    </row>
    <row r="293">
      <c r="A293" s="14" t="n"/>
      <c r="B293" s="13">
        <f>IF(OR($A293="",COUNTIF(COMPRAS!$B:$B,$A293)=0),"",MINIFS(COMPRAS!$A:$A,COMPRAS!$B:$B,$A293))</f>
        <v/>
      </c>
      <c r="C293" s="13">
        <f>IF(OR($A293="",COUNTIF(VENDAS!$B:$B,$A293)=0),"",MAXIFS(VENDAS!$A:$A,VENDAS!$B:$B,$A293))</f>
        <v/>
      </c>
      <c r="D293" s="15">
        <f>IF(OR($A293="",B293=""),"",IF(C293="",TODAY()-B293,C293-B293))</f>
        <v/>
      </c>
      <c r="E293" s="15">
        <f>IF($A293="","",SUMIF(COMPRAS!$B:$B,$A293,COMPRAS!$E:$E))</f>
        <v/>
      </c>
      <c r="F293" s="15">
        <f>IF($A293="","",SUMIF(VENDAS!$B:$B,$A293,VENDAS!$D:$D))</f>
        <v/>
      </c>
      <c r="G293" s="16">
        <f>IF($A293="","",SUMIF(COMPRAS!$B:$B,$A293,COMPRAS!$F:$F))</f>
        <v/>
      </c>
      <c r="H293" s="16">
        <f>IF($A293="","",SUMIF(VENDAS!$B:$B,$A293,VENDAS!$E:$E))</f>
        <v/>
      </c>
      <c r="I293" s="16">
        <f>IF($A293="","",H293-G293)</f>
        <v/>
      </c>
      <c r="J293" s="19">
        <f>IF($A293="","",SUMIF(COMPRAS!$B:$B,$A293,COMPRAS!$L:$L))</f>
        <v/>
      </c>
      <c r="K293" s="19">
        <f>IF($A293="","",SUMIF(VENDAS!$B:$B,$A293,VENDAS!$K:$K))</f>
        <v/>
      </c>
      <c r="L293" s="14">
        <f>IF($A293="","",IF(F293&gt;=E293,"FECHADO","ABERTO"))</f>
        <v/>
      </c>
      <c r="M293" s="19">
        <f>IF($A293="","",K293-J293)</f>
        <v/>
      </c>
    </row>
    <row r="294">
      <c r="A294" s="21" t="n"/>
      <c r="B294" s="20">
        <f>IF(OR($A294="",COUNTIF(COMPRAS!$B:$B,$A294)=0),"",MINIFS(COMPRAS!$A:$A,COMPRAS!$B:$B,$A294))</f>
        <v/>
      </c>
      <c r="C294" s="20">
        <f>IF(OR($A294="",COUNTIF(VENDAS!$B:$B,$A294)=0),"",MAXIFS(VENDAS!$A:$A,VENDAS!$B:$B,$A294))</f>
        <v/>
      </c>
      <c r="D294" s="22">
        <f>IF(OR($A294="",B294=""),"",IF(C294="",TODAY()-B294,C294-B294))</f>
        <v/>
      </c>
      <c r="E294" s="22">
        <f>IF($A294="","",SUMIF(COMPRAS!$B:$B,$A294,COMPRAS!$E:$E))</f>
        <v/>
      </c>
      <c r="F294" s="22">
        <f>IF($A294="","",SUMIF(VENDAS!$B:$B,$A294,VENDAS!$D:$D))</f>
        <v/>
      </c>
      <c r="G294" s="23">
        <f>IF($A294="","",SUMIF(COMPRAS!$B:$B,$A294,COMPRAS!$F:$F))</f>
        <v/>
      </c>
      <c r="H294" s="23">
        <f>IF($A294="","",SUMIF(VENDAS!$B:$B,$A294,VENDAS!$E:$E))</f>
        <v/>
      </c>
      <c r="I294" s="23">
        <f>IF($A294="","",H294-G294)</f>
        <v/>
      </c>
      <c r="J294" s="26">
        <f>IF($A294="","",SUMIF(COMPRAS!$B:$B,$A294,COMPRAS!$L:$L))</f>
        <v/>
      </c>
      <c r="K294" s="26">
        <f>IF($A294="","",SUMIF(VENDAS!$B:$B,$A294,VENDAS!$K:$K))</f>
        <v/>
      </c>
      <c r="L294" s="21">
        <f>IF($A294="","",IF(F294&gt;=E294,"FECHADO","ABERTO"))</f>
        <v/>
      </c>
      <c r="M294" s="26">
        <f>IF($A294="","",K294-J294)</f>
        <v/>
      </c>
    </row>
    <row r="295">
      <c r="A295" s="14" t="n"/>
      <c r="B295" s="13">
        <f>IF(OR($A295="",COUNTIF(COMPRAS!$B:$B,$A295)=0),"",MINIFS(COMPRAS!$A:$A,COMPRAS!$B:$B,$A295))</f>
        <v/>
      </c>
      <c r="C295" s="13">
        <f>IF(OR($A295="",COUNTIF(VENDAS!$B:$B,$A295)=0),"",MAXIFS(VENDAS!$A:$A,VENDAS!$B:$B,$A295))</f>
        <v/>
      </c>
      <c r="D295" s="15">
        <f>IF(OR($A295="",B295=""),"",IF(C295="",TODAY()-B295,C295-B295))</f>
        <v/>
      </c>
      <c r="E295" s="15">
        <f>IF($A295="","",SUMIF(COMPRAS!$B:$B,$A295,COMPRAS!$E:$E))</f>
        <v/>
      </c>
      <c r="F295" s="15">
        <f>IF($A295="","",SUMIF(VENDAS!$B:$B,$A295,VENDAS!$D:$D))</f>
        <v/>
      </c>
      <c r="G295" s="16">
        <f>IF($A295="","",SUMIF(COMPRAS!$B:$B,$A295,COMPRAS!$F:$F))</f>
        <v/>
      </c>
      <c r="H295" s="16">
        <f>IF($A295="","",SUMIF(VENDAS!$B:$B,$A295,VENDAS!$E:$E))</f>
        <v/>
      </c>
      <c r="I295" s="16">
        <f>IF($A295="","",H295-G295)</f>
        <v/>
      </c>
      <c r="J295" s="19">
        <f>IF($A295="","",SUMIF(COMPRAS!$B:$B,$A295,COMPRAS!$L:$L))</f>
        <v/>
      </c>
      <c r="K295" s="19">
        <f>IF($A295="","",SUMIF(VENDAS!$B:$B,$A295,VENDAS!$K:$K))</f>
        <v/>
      </c>
      <c r="L295" s="14">
        <f>IF($A295="","",IF(F295&gt;=E295,"FECHADO","ABERTO"))</f>
        <v/>
      </c>
      <c r="M295" s="19">
        <f>IF($A295="","",K295-J295)</f>
        <v/>
      </c>
    </row>
    <row r="296">
      <c r="A296" s="21" t="n"/>
      <c r="B296" s="20">
        <f>IF(OR($A296="",COUNTIF(COMPRAS!$B:$B,$A296)=0),"",MINIFS(COMPRAS!$A:$A,COMPRAS!$B:$B,$A296))</f>
        <v/>
      </c>
      <c r="C296" s="20">
        <f>IF(OR($A296="",COUNTIF(VENDAS!$B:$B,$A296)=0),"",MAXIFS(VENDAS!$A:$A,VENDAS!$B:$B,$A296))</f>
        <v/>
      </c>
      <c r="D296" s="22">
        <f>IF(OR($A296="",B296=""),"",IF(C296="",TODAY()-B296,C296-B296))</f>
        <v/>
      </c>
      <c r="E296" s="22">
        <f>IF($A296="","",SUMIF(COMPRAS!$B:$B,$A296,COMPRAS!$E:$E))</f>
        <v/>
      </c>
      <c r="F296" s="22">
        <f>IF($A296="","",SUMIF(VENDAS!$B:$B,$A296,VENDAS!$D:$D))</f>
        <v/>
      </c>
      <c r="G296" s="23">
        <f>IF($A296="","",SUMIF(COMPRAS!$B:$B,$A296,COMPRAS!$F:$F))</f>
        <v/>
      </c>
      <c r="H296" s="23">
        <f>IF($A296="","",SUMIF(VENDAS!$B:$B,$A296,VENDAS!$E:$E))</f>
        <v/>
      </c>
      <c r="I296" s="23">
        <f>IF($A296="","",H296-G296)</f>
        <v/>
      </c>
      <c r="J296" s="26">
        <f>IF($A296="","",SUMIF(COMPRAS!$B:$B,$A296,COMPRAS!$L:$L))</f>
        <v/>
      </c>
      <c r="K296" s="26">
        <f>IF($A296="","",SUMIF(VENDAS!$B:$B,$A296,VENDAS!$K:$K))</f>
        <v/>
      </c>
      <c r="L296" s="21">
        <f>IF($A296="","",IF(F296&gt;=E296,"FECHADO","ABERTO"))</f>
        <v/>
      </c>
      <c r="M296" s="26">
        <f>IF($A296="","",K296-J296)</f>
        <v/>
      </c>
    </row>
    <row r="297">
      <c r="A297" s="14" t="n"/>
      <c r="B297" s="13">
        <f>IF(OR($A297="",COUNTIF(COMPRAS!$B:$B,$A297)=0),"",MINIFS(COMPRAS!$A:$A,COMPRAS!$B:$B,$A297))</f>
        <v/>
      </c>
      <c r="C297" s="13">
        <f>IF(OR($A297="",COUNTIF(VENDAS!$B:$B,$A297)=0),"",MAXIFS(VENDAS!$A:$A,VENDAS!$B:$B,$A297))</f>
        <v/>
      </c>
      <c r="D297" s="15">
        <f>IF(OR($A297="",B297=""),"",IF(C297="",TODAY()-B297,C297-B297))</f>
        <v/>
      </c>
      <c r="E297" s="15">
        <f>IF($A297="","",SUMIF(COMPRAS!$B:$B,$A297,COMPRAS!$E:$E))</f>
        <v/>
      </c>
      <c r="F297" s="15">
        <f>IF($A297="","",SUMIF(VENDAS!$B:$B,$A297,VENDAS!$D:$D))</f>
        <v/>
      </c>
      <c r="G297" s="16">
        <f>IF($A297="","",SUMIF(COMPRAS!$B:$B,$A297,COMPRAS!$F:$F))</f>
        <v/>
      </c>
      <c r="H297" s="16">
        <f>IF($A297="","",SUMIF(VENDAS!$B:$B,$A297,VENDAS!$E:$E))</f>
        <v/>
      </c>
      <c r="I297" s="16">
        <f>IF($A297="","",H297-G297)</f>
        <v/>
      </c>
      <c r="J297" s="19">
        <f>IF($A297="","",SUMIF(COMPRAS!$B:$B,$A297,COMPRAS!$L:$L))</f>
        <v/>
      </c>
      <c r="K297" s="19">
        <f>IF($A297="","",SUMIF(VENDAS!$B:$B,$A297,VENDAS!$K:$K))</f>
        <v/>
      </c>
      <c r="L297" s="14">
        <f>IF($A297="","",IF(F297&gt;=E297,"FECHADO","ABERTO"))</f>
        <v/>
      </c>
      <c r="M297" s="19">
        <f>IF($A297="","",K297-J297)</f>
        <v/>
      </c>
    </row>
    <row r="298">
      <c r="A298" s="21" t="n"/>
      <c r="B298" s="20">
        <f>IF(OR($A298="",COUNTIF(COMPRAS!$B:$B,$A298)=0),"",MINIFS(COMPRAS!$A:$A,COMPRAS!$B:$B,$A298))</f>
        <v/>
      </c>
      <c r="C298" s="20">
        <f>IF(OR($A298="",COUNTIF(VENDAS!$B:$B,$A298)=0),"",MAXIFS(VENDAS!$A:$A,VENDAS!$B:$B,$A298))</f>
        <v/>
      </c>
      <c r="D298" s="22">
        <f>IF(OR($A298="",B298=""),"",IF(C298="",TODAY()-B298,C298-B298))</f>
        <v/>
      </c>
      <c r="E298" s="22">
        <f>IF($A298="","",SUMIF(COMPRAS!$B:$B,$A298,COMPRAS!$E:$E))</f>
        <v/>
      </c>
      <c r="F298" s="22">
        <f>IF($A298="","",SUMIF(VENDAS!$B:$B,$A298,VENDAS!$D:$D))</f>
        <v/>
      </c>
      <c r="G298" s="23">
        <f>IF($A298="","",SUMIF(COMPRAS!$B:$B,$A298,COMPRAS!$F:$F))</f>
        <v/>
      </c>
      <c r="H298" s="23">
        <f>IF($A298="","",SUMIF(VENDAS!$B:$B,$A298,VENDAS!$E:$E))</f>
        <v/>
      </c>
      <c r="I298" s="23">
        <f>IF($A298="","",H298-G298)</f>
        <v/>
      </c>
      <c r="J298" s="26">
        <f>IF($A298="","",SUMIF(COMPRAS!$B:$B,$A298,COMPRAS!$L:$L))</f>
        <v/>
      </c>
      <c r="K298" s="26">
        <f>IF($A298="","",SUMIF(VENDAS!$B:$B,$A298,VENDAS!$K:$K))</f>
        <v/>
      </c>
      <c r="L298" s="21">
        <f>IF($A298="","",IF(F298&gt;=E298,"FECHADO","ABERTO"))</f>
        <v/>
      </c>
      <c r="M298" s="26">
        <f>IF($A298="","",K298-J298)</f>
        <v/>
      </c>
    </row>
    <row r="299">
      <c r="A299" s="14" t="n"/>
      <c r="B299" s="13">
        <f>IF(OR($A299="",COUNTIF(COMPRAS!$B:$B,$A299)=0),"",MINIFS(COMPRAS!$A:$A,COMPRAS!$B:$B,$A299))</f>
        <v/>
      </c>
      <c r="C299" s="13">
        <f>IF(OR($A299="",COUNTIF(VENDAS!$B:$B,$A299)=0),"",MAXIFS(VENDAS!$A:$A,VENDAS!$B:$B,$A299))</f>
        <v/>
      </c>
      <c r="D299" s="15">
        <f>IF(OR($A299="",B299=""),"",IF(C299="",TODAY()-B299,C299-B299))</f>
        <v/>
      </c>
      <c r="E299" s="15">
        <f>IF($A299="","",SUMIF(COMPRAS!$B:$B,$A299,COMPRAS!$E:$E))</f>
        <v/>
      </c>
      <c r="F299" s="15">
        <f>IF($A299="","",SUMIF(VENDAS!$B:$B,$A299,VENDAS!$D:$D))</f>
        <v/>
      </c>
      <c r="G299" s="16">
        <f>IF($A299="","",SUMIF(COMPRAS!$B:$B,$A299,COMPRAS!$F:$F))</f>
        <v/>
      </c>
      <c r="H299" s="16">
        <f>IF($A299="","",SUMIF(VENDAS!$B:$B,$A299,VENDAS!$E:$E))</f>
        <v/>
      </c>
      <c r="I299" s="16">
        <f>IF($A299="","",H299-G299)</f>
        <v/>
      </c>
      <c r="J299" s="19">
        <f>IF($A299="","",SUMIF(COMPRAS!$B:$B,$A299,COMPRAS!$L:$L))</f>
        <v/>
      </c>
      <c r="K299" s="19">
        <f>IF($A299="","",SUMIF(VENDAS!$B:$B,$A299,VENDAS!$K:$K))</f>
        <v/>
      </c>
      <c r="L299" s="14">
        <f>IF($A299="","",IF(F299&gt;=E299,"FECHADO","ABERTO"))</f>
        <v/>
      </c>
      <c r="M299" s="19">
        <f>IF($A299="","",K299-J299)</f>
        <v/>
      </c>
    </row>
    <row r="300">
      <c r="A300" s="21" t="n"/>
      <c r="B300" s="20">
        <f>IF(OR($A300="",COUNTIF(COMPRAS!$B:$B,$A300)=0),"",MINIFS(COMPRAS!$A:$A,COMPRAS!$B:$B,$A300))</f>
        <v/>
      </c>
      <c r="C300" s="20">
        <f>IF(OR($A300="",COUNTIF(VENDAS!$B:$B,$A300)=0),"",MAXIFS(VENDAS!$A:$A,VENDAS!$B:$B,$A300))</f>
        <v/>
      </c>
      <c r="D300" s="22">
        <f>IF(OR($A300="",B300=""),"",IF(C300="",TODAY()-B300,C300-B300))</f>
        <v/>
      </c>
      <c r="E300" s="22">
        <f>IF($A300="","",SUMIF(COMPRAS!$B:$B,$A300,COMPRAS!$E:$E))</f>
        <v/>
      </c>
      <c r="F300" s="22">
        <f>IF($A300="","",SUMIF(VENDAS!$B:$B,$A300,VENDAS!$D:$D))</f>
        <v/>
      </c>
      <c r="G300" s="23">
        <f>IF($A300="","",SUMIF(COMPRAS!$B:$B,$A300,COMPRAS!$F:$F))</f>
        <v/>
      </c>
      <c r="H300" s="23">
        <f>IF($A300="","",SUMIF(VENDAS!$B:$B,$A300,VENDAS!$E:$E))</f>
        <v/>
      </c>
      <c r="I300" s="23">
        <f>IF($A300="","",H300-G300)</f>
        <v/>
      </c>
      <c r="J300" s="26">
        <f>IF($A300="","",SUMIF(COMPRAS!$B:$B,$A300,COMPRAS!$L:$L))</f>
        <v/>
      </c>
      <c r="K300" s="26">
        <f>IF($A300="","",SUMIF(VENDAS!$B:$B,$A300,VENDAS!$K:$K))</f>
        <v/>
      </c>
      <c r="L300" s="21">
        <f>IF($A300="","",IF(F300&gt;=E300,"FECHADO","ABERTO"))</f>
        <v/>
      </c>
      <c r="M300" s="26">
        <f>IF($A300="","",K300-J300)</f>
        <v/>
      </c>
    </row>
    <row r="301">
      <c r="A301" s="14" t="n"/>
      <c r="B301" s="13">
        <f>IF(OR($A301="",COUNTIF(COMPRAS!$B:$B,$A301)=0),"",MINIFS(COMPRAS!$A:$A,COMPRAS!$B:$B,$A301))</f>
        <v/>
      </c>
      <c r="C301" s="13">
        <f>IF(OR($A301="",COUNTIF(VENDAS!$B:$B,$A301)=0),"",MAXIFS(VENDAS!$A:$A,VENDAS!$B:$B,$A301))</f>
        <v/>
      </c>
      <c r="D301" s="15">
        <f>IF(OR($A301="",B301=""),"",IF(C301="",TODAY()-B301,C301-B301))</f>
        <v/>
      </c>
      <c r="E301" s="15">
        <f>IF($A301="","",SUMIF(COMPRAS!$B:$B,$A301,COMPRAS!$E:$E))</f>
        <v/>
      </c>
      <c r="F301" s="15">
        <f>IF($A301="","",SUMIF(VENDAS!$B:$B,$A301,VENDAS!$D:$D))</f>
        <v/>
      </c>
      <c r="G301" s="16">
        <f>IF($A301="","",SUMIF(COMPRAS!$B:$B,$A301,COMPRAS!$F:$F))</f>
        <v/>
      </c>
      <c r="H301" s="16">
        <f>IF($A301="","",SUMIF(VENDAS!$B:$B,$A301,VENDAS!$E:$E))</f>
        <v/>
      </c>
      <c r="I301" s="16">
        <f>IF($A301="","",H301-G301)</f>
        <v/>
      </c>
      <c r="J301" s="19">
        <f>IF($A301="","",SUMIF(COMPRAS!$B:$B,$A301,COMPRAS!$L:$L))</f>
        <v/>
      </c>
      <c r="K301" s="19">
        <f>IF($A301="","",SUMIF(VENDAS!$B:$B,$A301,VENDAS!$K:$K))</f>
        <v/>
      </c>
      <c r="L301" s="14">
        <f>IF($A301="","",IF(F301&gt;=E301,"FECHADO","ABERTO"))</f>
        <v/>
      </c>
      <c r="M301" s="19">
        <f>IF($A301="","",K301-J301)</f>
        <v/>
      </c>
    </row>
    <row r="302">
      <c r="A302" s="21" t="n"/>
      <c r="B302" s="20">
        <f>IF(OR($A302="",COUNTIF(COMPRAS!$B:$B,$A302)=0),"",MINIFS(COMPRAS!$A:$A,COMPRAS!$B:$B,$A302))</f>
        <v/>
      </c>
      <c r="C302" s="20">
        <f>IF(OR($A302="",COUNTIF(VENDAS!$B:$B,$A302)=0),"",MAXIFS(VENDAS!$A:$A,VENDAS!$B:$B,$A302))</f>
        <v/>
      </c>
      <c r="D302" s="22">
        <f>IF(OR($A302="",B302=""),"",IF(C302="",TODAY()-B302,C302-B302))</f>
        <v/>
      </c>
      <c r="E302" s="22">
        <f>IF($A302="","",SUMIF(COMPRAS!$B:$B,$A302,COMPRAS!$E:$E))</f>
        <v/>
      </c>
      <c r="F302" s="22">
        <f>IF($A302="","",SUMIF(VENDAS!$B:$B,$A302,VENDAS!$D:$D))</f>
        <v/>
      </c>
      <c r="G302" s="23">
        <f>IF($A302="","",SUMIF(COMPRAS!$B:$B,$A302,COMPRAS!$F:$F))</f>
        <v/>
      </c>
      <c r="H302" s="23">
        <f>IF($A302="","",SUMIF(VENDAS!$B:$B,$A302,VENDAS!$E:$E))</f>
        <v/>
      </c>
      <c r="I302" s="23">
        <f>IF($A302="","",H302-G302)</f>
        <v/>
      </c>
      <c r="J302" s="26">
        <f>IF($A302="","",SUMIF(COMPRAS!$B:$B,$A302,COMPRAS!$L:$L))</f>
        <v/>
      </c>
      <c r="K302" s="26">
        <f>IF($A302="","",SUMIF(VENDAS!$B:$B,$A302,VENDAS!$K:$K))</f>
        <v/>
      </c>
      <c r="L302" s="21">
        <f>IF($A302="","",IF(F302&gt;=E302,"FECHADO","ABERTO"))</f>
        <v/>
      </c>
      <c r="M302" s="26">
        <f>IF($A302="","",K302-J302)</f>
        <v/>
      </c>
    </row>
  </sheetData>
  <mergeCells count="1">
    <mergeCell ref="A1:M1"/>
  </mergeCells>
  <conditionalFormatting sqref="M3:M302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4" customWidth="1" min="4" max="4"/>
    <col width="14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💰 CAIXA — todo dinheiro que entra e sai</t>
        </is>
      </c>
    </row>
    <row r="2" ht="30" customHeight="1">
      <c r="A2" s="12" t="inlineStr">
        <is>
          <t>DATA</t>
        </is>
      </c>
      <c r="B2" s="12" t="inlineStr">
        <is>
          <t>LOTE</t>
        </is>
      </c>
      <c r="C2" s="12" t="inlineStr">
        <is>
          <t>CATEGORIA</t>
        </is>
      </c>
      <c r="D2" s="12" t="inlineStr">
        <is>
          <t>DESCRIÇÃO</t>
        </is>
      </c>
      <c r="E2" s="12" t="inlineStr">
        <is>
          <t>FORMA</t>
        </is>
      </c>
      <c r="F2" s="12" t="inlineStr">
        <is>
          <t>ENTROU</t>
        </is>
      </c>
      <c r="G2" s="12" t="inlineStr">
        <is>
          <t>SAIU</t>
        </is>
      </c>
      <c r="H2" s="12" t="inlineStr">
        <is>
          <t>SALDO</t>
        </is>
      </c>
    </row>
    <row r="3">
      <c r="A3" s="13" t="n"/>
      <c r="B3" s="14" t="n"/>
      <c r="C3" s="14" t="n"/>
      <c r="D3" s="14" t="n"/>
      <c r="E3" s="14" t="n"/>
      <c r="F3" s="19" t="n"/>
      <c r="G3" s="19" t="n"/>
      <c r="H3" s="19">
        <f>IF(AND(F3="",G3=""),"",0+N(F3)-N(G3))</f>
        <v/>
      </c>
    </row>
    <row r="4">
      <c r="A4" s="20" t="n"/>
      <c r="B4" s="21" t="n"/>
      <c r="C4" s="21" t="n"/>
      <c r="D4" s="21" t="n"/>
      <c r="E4" s="21" t="n"/>
      <c r="F4" s="26" t="n"/>
      <c r="G4" s="26" t="n"/>
      <c r="H4" s="26">
        <f>IF(AND(F4="",G4=""),"",N(H3)+N(F4)-N(G4))</f>
        <v/>
      </c>
    </row>
    <row r="5">
      <c r="A5" s="13" t="n"/>
      <c r="B5" s="14" t="n"/>
      <c r="C5" s="14" t="n"/>
      <c r="D5" s="14" t="n"/>
      <c r="E5" s="14" t="n"/>
      <c r="F5" s="19" t="n"/>
      <c r="G5" s="19" t="n"/>
      <c r="H5" s="19">
        <f>IF(AND(F5="",G5=""),"",N(H4)+N(F5)-N(G5))</f>
        <v/>
      </c>
    </row>
    <row r="6">
      <c r="A6" s="20" t="n"/>
      <c r="B6" s="21" t="n"/>
      <c r="C6" s="21" t="n"/>
      <c r="D6" s="21" t="n"/>
      <c r="E6" s="21" t="n"/>
      <c r="F6" s="26" t="n"/>
      <c r="G6" s="26" t="n"/>
      <c r="H6" s="26">
        <f>IF(AND(F6="",G6=""),"",N(H5)+N(F6)-N(G6))</f>
        <v/>
      </c>
    </row>
    <row r="7">
      <c r="A7" s="13" t="n"/>
      <c r="B7" s="14" t="n"/>
      <c r="C7" s="14" t="n"/>
      <c r="D7" s="14" t="n"/>
      <c r="E7" s="14" t="n"/>
      <c r="F7" s="19" t="n"/>
      <c r="G7" s="19" t="n"/>
      <c r="H7" s="19">
        <f>IF(AND(F7="",G7=""),"",N(H6)+N(F7)-N(G7))</f>
        <v/>
      </c>
    </row>
    <row r="8">
      <c r="A8" s="20" t="n"/>
      <c r="B8" s="21" t="n"/>
      <c r="C8" s="21" t="n"/>
      <c r="D8" s="21" t="n"/>
      <c r="E8" s="21" t="n"/>
      <c r="F8" s="26" t="n"/>
      <c r="G8" s="26" t="n"/>
      <c r="H8" s="26">
        <f>IF(AND(F8="",G8=""),"",N(H7)+N(F8)-N(G8))</f>
        <v/>
      </c>
    </row>
    <row r="9">
      <c r="A9" s="13" t="n"/>
      <c r="B9" s="14" t="n"/>
      <c r="C9" s="14" t="n"/>
      <c r="D9" s="14" t="n"/>
      <c r="E9" s="14" t="n"/>
      <c r="F9" s="19" t="n"/>
      <c r="G9" s="19" t="n"/>
      <c r="H9" s="19">
        <f>IF(AND(F9="",G9=""),"",N(H8)+N(F9)-N(G9))</f>
        <v/>
      </c>
    </row>
    <row r="10">
      <c r="A10" s="20" t="n"/>
      <c r="B10" s="21" t="n"/>
      <c r="C10" s="21" t="n"/>
      <c r="D10" s="21" t="n"/>
      <c r="E10" s="21" t="n"/>
      <c r="F10" s="26" t="n"/>
      <c r="G10" s="26" t="n"/>
      <c r="H10" s="26">
        <f>IF(AND(F10="",G10=""),"",N(H9)+N(F10)-N(G10))</f>
        <v/>
      </c>
    </row>
    <row r="11">
      <c r="A11" s="13" t="n"/>
      <c r="B11" s="14" t="n"/>
      <c r="C11" s="14" t="n"/>
      <c r="D11" s="14" t="n"/>
      <c r="E11" s="14" t="n"/>
      <c r="F11" s="19" t="n"/>
      <c r="G11" s="19" t="n"/>
      <c r="H11" s="19">
        <f>IF(AND(F11="",G11=""),"",N(H10)+N(F11)-N(G11))</f>
        <v/>
      </c>
    </row>
    <row r="12">
      <c r="A12" s="20" t="n"/>
      <c r="B12" s="21" t="n"/>
      <c r="C12" s="21" t="n"/>
      <c r="D12" s="21" t="n"/>
      <c r="E12" s="21" t="n"/>
      <c r="F12" s="26" t="n"/>
      <c r="G12" s="26" t="n"/>
      <c r="H12" s="26">
        <f>IF(AND(F12="",G12=""),"",N(H11)+N(F12)-N(G12))</f>
        <v/>
      </c>
    </row>
    <row r="13">
      <c r="A13" s="13" t="n"/>
      <c r="B13" s="14" t="n"/>
      <c r="C13" s="14" t="n"/>
      <c r="D13" s="14" t="n"/>
      <c r="E13" s="14" t="n"/>
      <c r="F13" s="19" t="n"/>
      <c r="G13" s="19" t="n"/>
      <c r="H13" s="19">
        <f>IF(AND(F13="",G13=""),"",N(H12)+N(F13)-N(G13))</f>
        <v/>
      </c>
    </row>
    <row r="14">
      <c r="A14" s="20" t="n"/>
      <c r="B14" s="21" t="n"/>
      <c r="C14" s="21" t="n"/>
      <c r="D14" s="21" t="n"/>
      <c r="E14" s="21" t="n"/>
      <c r="F14" s="26" t="n"/>
      <c r="G14" s="26" t="n"/>
      <c r="H14" s="26">
        <f>IF(AND(F14="",G14=""),"",N(H13)+N(F14)-N(G14))</f>
        <v/>
      </c>
    </row>
    <row r="15">
      <c r="A15" s="13" t="n"/>
      <c r="B15" s="14" t="n"/>
      <c r="C15" s="14" t="n"/>
      <c r="D15" s="14" t="n"/>
      <c r="E15" s="14" t="n"/>
      <c r="F15" s="19" t="n"/>
      <c r="G15" s="19" t="n"/>
      <c r="H15" s="19">
        <f>IF(AND(F15="",G15=""),"",N(H14)+N(F15)-N(G15))</f>
        <v/>
      </c>
    </row>
    <row r="16">
      <c r="A16" s="20" t="n"/>
      <c r="B16" s="21" t="n"/>
      <c r="C16" s="21" t="n"/>
      <c r="D16" s="21" t="n"/>
      <c r="E16" s="21" t="n"/>
      <c r="F16" s="26" t="n"/>
      <c r="G16" s="26" t="n"/>
      <c r="H16" s="26">
        <f>IF(AND(F16="",G16=""),"",N(H15)+N(F16)-N(G16))</f>
        <v/>
      </c>
    </row>
    <row r="17">
      <c r="A17" s="13" t="n"/>
      <c r="B17" s="14" t="n"/>
      <c r="C17" s="14" t="n"/>
      <c r="D17" s="14" t="n"/>
      <c r="E17" s="14" t="n"/>
      <c r="F17" s="19" t="n"/>
      <c r="G17" s="19" t="n"/>
      <c r="H17" s="19">
        <f>IF(AND(F17="",G17=""),"",N(H16)+N(F17)-N(G17))</f>
        <v/>
      </c>
    </row>
    <row r="18">
      <c r="A18" s="20" t="n"/>
      <c r="B18" s="21" t="n"/>
      <c r="C18" s="21" t="n"/>
      <c r="D18" s="21" t="n"/>
      <c r="E18" s="21" t="n"/>
      <c r="F18" s="26" t="n"/>
      <c r="G18" s="26" t="n"/>
      <c r="H18" s="26">
        <f>IF(AND(F18="",G18=""),"",N(H17)+N(F18)-N(G18))</f>
        <v/>
      </c>
    </row>
    <row r="19">
      <c r="A19" s="13" t="n"/>
      <c r="B19" s="14" t="n"/>
      <c r="C19" s="14" t="n"/>
      <c r="D19" s="14" t="n"/>
      <c r="E19" s="14" t="n"/>
      <c r="F19" s="19" t="n"/>
      <c r="G19" s="19" t="n"/>
      <c r="H19" s="19">
        <f>IF(AND(F19="",G19=""),"",N(H18)+N(F19)-N(G19))</f>
        <v/>
      </c>
    </row>
    <row r="20">
      <c r="A20" s="20" t="n"/>
      <c r="B20" s="21" t="n"/>
      <c r="C20" s="21" t="n"/>
      <c r="D20" s="21" t="n"/>
      <c r="E20" s="21" t="n"/>
      <c r="F20" s="26" t="n"/>
      <c r="G20" s="26" t="n"/>
      <c r="H20" s="26">
        <f>IF(AND(F20="",G20=""),"",N(H19)+N(F20)-N(G20))</f>
        <v/>
      </c>
    </row>
    <row r="21">
      <c r="A21" s="13" t="n"/>
      <c r="B21" s="14" t="n"/>
      <c r="C21" s="14" t="n"/>
      <c r="D21" s="14" t="n"/>
      <c r="E21" s="14" t="n"/>
      <c r="F21" s="19" t="n"/>
      <c r="G21" s="19" t="n"/>
      <c r="H21" s="19">
        <f>IF(AND(F21="",G21=""),"",N(H20)+N(F21)-N(G21))</f>
        <v/>
      </c>
    </row>
    <row r="22">
      <c r="A22" s="20" t="n"/>
      <c r="B22" s="21" t="n"/>
      <c r="C22" s="21" t="n"/>
      <c r="D22" s="21" t="n"/>
      <c r="E22" s="21" t="n"/>
      <c r="F22" s="26" t="n"/>
      <c r="G22" s="26" t="n"/>
      <c r="H22" s="26">
        <f>IF(AND(F22="",G22=""),"",N(H21)+N(F22)-N(G22))</f>
        <v/>
      </c>
    </row>
    <row r="23">
      <c r="A23" s="13" t="n"/>
      <c r="B23" s="14" t="n"/>
      <c r="C23" s="14" t="n"/>
      <c r="D23" s="14" t="n"/>
      <c r="E23" s="14" t="n"/>
      <c r="F23" s="19" t="n"/>
      <c r="G23" s="19" t="n"/>
      <c r="H23" s="19">
        <f>IF(AND(F23="",G23=""),"",N(H22)+N(F23)-N(G23))</f>
        <v/>
      </c>
    </row>
    <row r="24">
      <c r="A24" s="20" t="n"/>
      <c r="B24" s="21" t="n"/>
      <c r="C24" s="21" t="n"/>
      <c r="D24" s="21" t="n"/>
      <c r="E24" s="21" t="n"/>
      <c r="F24" s="26" t="n"/>
      <c r="G24" s="26" t="n"/>
      <c r="H24" s="26">
        <f>IF(AND(F24="",G24=""),"",N(H23)+N(F24)-N(G24))</f>
        <v/>
      </c>
    </row>
    <row r="25">
      <c r="A25" s="13" t="n"/>
      <c r="B25" s="14" t="n"/>
      <c r="C25" s="14" t="n"/>
      <c r="D25" s="14" t="n"/>
      <c r="E25" s="14" t="n"/>
      <c r="F25" s="19" t="n"/>
      <c r="G25" s="19" t="n"/>
      <c r="H25" s="19">
        <f>IF(AND(F25="",G25=""),"",N(H24)+N(F25)-N(G25))</f>
        <v/>
      </c>
    </row>
    <row r="26">
      <c r="A26" s="20" t="n"/>
      <c r="B26" s="21" t="n"/>
      <c r="C26" s="21" t="n"/>
      <c r="D26" s="21" t="n"/>
      <c r="E26" s="21" t="n"/>
      <c r="F26" s="26" t="n"/>
      <c r="G26" s="26" t="n"/>
      <c r="H26" s="26">
        <f>IF(AND(F26="",G26=""),"",N(H25)+N(F26)-N(G26))</f>
        <v/>
      </c>
    </row>
    <row r="27">
      <c r="A27" s="13" t="n"/>
      <c r="B27" s="14" t="n"/>
      <c r="C27" s="14" t="n"/>
      <c r="D27" s="14" t="n"/>
      <c r="E27" s="14" t="n"/>
      <c r="F27" s="19" t="n"/>
      <c r="G27" s="19" t="n"/>
      <c r="H27" s="19">
        <f>IF(AND(F27="",G27=""),"",N(H26)+N(F27)-N(G27))</f>
        <v/>
      </c>
    </row>
    <row r="28">
      <c r="A28" s="20" t="n"/>
      <c r="B28" s="21" t="n"/>
      <c r="C28" s="21" t="n"/>
      <c r="D28" s="21" t="n"/>
      <c r="E28" s="21" t="n"/>
      <c r="F28" s="26" t="n"/>
      <c r="G28" s="26" t="n"/>
      <c r="H28" s="26">
        <f>IF(AND(F28="",G28=""),"",N(H27)+N(F28)-N(G28))</f>
        <v/>
      </c>
    </row>
    <row r="29">
      <c r="A29" s="13" t="n"/>
      <c r="B29" s="14" t="n"/>
      <c r="C29" s="14" t="n"/>
      <c r="D29" s="14" t="n"/>
      <c r="E29" s="14" t="n"/>
      <c r="F29" s="19" t="n"/>
      <c r="G29" s="19" t="n"/>
      <c r="H29" s="19">
        <f>IF(AND(F29="",G29=""),"",N(H28)+N(F29)-N(G29))</f>
        <v/>
      </c>
    </row>
    <row r="30">
      <c r="A30" s="20" t="n"/>
      <c r="B30" s="21" t="n"/>
      <c r="C30" s="21" t="n"/>
      <c r="D30" s="21" t="n"/>
      <c r="E30" s="21" t="n"/>
      <c r="F30" s="26" t="n"/>
      <c r="G30" s="26" t="n"/>
      <c r="H30" s="26">
        <f>IF(AND(F30="",G30=""),"",N(H29)+N(F30)-N(G30))</f>
        <v/>
      </c>
    </row>
    <row r="31">
      <c r="A31" s="13" t="n"/>
      <c r="B31" s="14" t="n"/>
      <c r="C31" s="14" t="n"/>
      <c r="D31" s="14" t="n"/>
      <c r="E31" s="14" t="n"/>
      <c r="F31" s="19" t="n"/>
      <c r="G31" s="19" t="n"/>
      <c r="H31" s="19">
        <f>IF(AND(F31="",G31=""),"",N(H30)+N(F31)-N(G31))</f>
        <v/>
      </c>
    </row>
    <row r="32">
      <c r="A32" s="20" t="n"/>
      <c r="B32" s="21" t="n"/>
      <c r="C32" s="21" t="n"/>
      <c r="D32" s="21" t="n"/>
      <c r="E32" s="21" t="n"/>
      <c r="F32" s="26" t="n"/>
      <c r="G32" s="26" t="n"/>
      <c r="H32" s="26">
        <f>IF(AND(F32="",G32=""),"",N(H31)+N(F32)-N(G32))</f>
        <v/>
      </c>
    </row>
    <row r="33">
      <c r="A33" s="13" t="n"/>
      <c r="B33" s="14" t="n"/>
      <c r="C33" s="14" t="n"/>
      <c r="D33" s="14" t="n"/>
      <c r="E33" s="14" t="n"/>
      <c r="F33" s="19" t="n"/>
      <c r="G33" s="19" t="n"/>
      <c r="H33" s="19">
        <f>IF(AND(F33="",G33=""),"",N(H32)+N(F33)-N(G33))</f>
        <v/>
      </c>
    </row>
    <row r="34">
      <c r="A34" s="20" t="n"/>
      <c r="B34" s="21" t="n"/>
      <c r="C34" s="21" t="n"/>
      <c r="D34" s="21" t="n"/>
      <c r="E34" s="21" t="n"/>
      <c r="F34" s="26" t="n"/>
      <c r="G34" s="26" t="n"/>
      <c r="H34" s="26">
        <f>IF(AND(F34="",G34=""),"",N(H33)+N(F34)-N(G34))</f>
        <v/>
      </c>
    </row>
    <row r="35">
      <c r="A35" s="13" t="n"/>
      <c r="B35" s="14" t="n"/>
      <c r="C35" s="14" t="n"/>
      <c r="D35" s="14" t="n"/>
      <c r="E35" s="14" t="n"/>
      <c r="F35" s="19" t="n"/>
      <c r="G35" s="19" t="n"/>
      <c r="H35" s="19">
        <f>IF(AND(F35="",G35=""),"",N(H34)+N(F35)-N(G35))</f>
        <v/>
      </c>
    </row>
    <row r="36">
      <c r="A36" s="20" t="n"/>
      <c r="B36" s="21" t="n"/>
      <c r="C36" s="21" t="n"/>
      <c r="D36" s="21" t="n"/>
      <c r="E36" s="21" t="n"/>
      <c r="F36" s="26" t="n"/>
      <c r="G36" s="26" t="n"/>
      <c r="H36" s="26">
        <f>IF(AND(F36="",G36=""),"",N(H35)+N(F36)-N(G36))</f>
        <v/>
      </c>
    </row>
    <row r="37">
      <c r="A37" s="13" t="n"/>
      <c r="B37" s="14" t="n"/>
      <c r="C37" s="14" t="n"/>
      <c r="D37" s="14" t="n"/>
      <c r="E37" s="14" t="n"/>
      <c r="F37" s="19" t="n"/>
      <c r="G37" s="19" t="n"/>
      <c r="H37" s="19">
        <f>IF(AND(F37="",G37=""),"",N(H36)+N(F37)-N(G37))</f>
        <v/>
      </c>
    </row>
    <row r="38">
      <c r="A38" s="20" t="n"/>
      <c r="B38" s="21" t="n"/>
      <c r="C38" s="21" t="n"/>
      <c r="D38" s="21" t="n"/>
      <c r="E38" s="21" t="n"/>
      <c r="F38" s="26" t="n"/>
      <c r="G38" s="26" t="n"/>
      <c r="H38" s="26">
        <f>IF(AND(F38="",G38=""),"",N(H37)+N(F38)-N(G38))</f>
        <v/>
      </c>
    </row>
    <row r="39">
      <c r="A39" s="13" t="n"/>
      <c r="B39" s="14" t="n"/>
      <c r="C39" s="14" t="n"/>
      <c r="D39" s="14" t="n"/>
      <c r="E39" s="14" t="n"/>
      <c r="F39" s="19" t="n"/>
      <c r="G39" s="19" t="n"/>
      <c r="H39" s="19">
        <f>IF(AND(F39="",G39=""),"",N(H38)+N(F39)-N(G39))</f>
        <v/>
      </c>
    </row>
    <row r="40">
      <c r="A40" s="20" t="n"/>
      <c r="B40" s="21" t="n"/>
      <c r="C40" s="21" t="n"/>
      <c r="D40" s="21" t="n"/>
      <c r="E40" s="21" t="n"/>
      <c r="F40" s="26" t="n"/>
      <c r="G40" s="26" t="n"/>
      <c r="H40" s="26">
        <f>IF(AND(F40="",G40=""),"",N(H39)+N(F40)-N(G40))</f>
        <v/>
      </c>
    </row>
    <row r="41">
      <c r="A41" s="13" t="n"/>
      <c r="B41" s="14" t="n"/>
      <c r="C41" s="14" t="n"/>
      <c r="D41" s="14" t="n"/>
      <c r="E41" s="14" t="n"/>
      <c r="F41" s="19" t="n"/>
      <c r="G41" s="19" t="n"/>
      <c r="H41" s="19">
        <f>IF(AND(F41="",G41=""),"",N(H40)+N(F41)-N(G41))</f>
        <v/>
      </c>
    </row>
    <row r="42">
      <c r="A42" s="20" t="n"/>
      <c r="B42" s="21" t="n"/>
      <c r="C42" s="21" t="n"/>
      <c r="D42" s="21" t="n"/>
      <c r="E42" s="21" t="n"/>
      <c r="F42" s="26" t="n"/>
      <c r="G42" s="26" t="n"/>
      <c r="H42" s="26">
        <f>IF(AND(F42="",G42=""),"",N(H41)+N(F42)-N(G42))</f>
        <v/>
      </c>
    </row>
    <row r="43">
      <c r="A43" s="13" t="n"/>
      <c r="B43" s="14" t="n"/>
      <c r="C43" s="14" t="n"/>
      <c r="D43" s="14" t="n"/>
      <c r="E43" s="14" t="n"/>
      <c r="F43" s="19" t="n"/>
      <c r="G43" s="19" t="n"/>
      <c r="H43" s="19">
        <f>IF(AND(F43="",G43=""),"",N(H42)+N(F43)-N(G43))</f>
        <v/>
      </c>
    </row>
    <row r="44">
      <c r="A44" s="20" t="n"/>
      <c r="B44" s="21" t="n"/>
      <c r="C44" s="21" t="n"/>
      <c r="D44" s="21" t="n"/>
      <c r="E44" s="21" t="n"/>
      <c r="F44" s="26" t="n"/>
      <c r="G44" s="26" t="n"/>
      <c r="H44" s="26">
        <f>IF(AND(F44="",G44=""),"",N(H43)+N(F44)-N(G44))</f>
        <v/>
      </c>
    </row>
    <row r="45">
      <c r="A45" s="13" t="n"/>
      <c r="B45" s="14" t="n"/>
      <c r="C45" s="14" t="n"/>
      <c r="D45" s="14" t="n"/>
      <c r="E45" s="14" t="n"/>
      <c r="F45" s="19" t="n"/>
      <c r="G45" s="19" t="n"/>
      <c r="H45" s="19">
        <f>IF(AND(F45="",G45=""),"",N(H44)+N(F45)-N(G45))</f>
        <v/>
      </c>
    </row>
    <row r="46">
      <c r="A46" s="20" t="n"/>
      <c r="B46" s="21" t="n"/>
      <c r="C46" s="21" t="n"/>
      <c r="D46" s="21" t="n"/>
      <c r="E46" s="21" t="n"/>
      <c r="F46" s="26" t="n"/>
      <c r="G46" s="26" t="n"/>
      <c r="H46" s="26">
        <f>IF(AND(F46="",G46=""),"",N(H45)+N(F46)-N(G46))</f>
        <v/>
      </c>
    </row>
    <row r="47">
      <c r="A47" s="13" t="n"/>
      <c r="B47" s="14" t="n"/>
      <c r="C47" s="14" t="n"/>
      <c r="D47" s="14" t="n"/>
      <c r="E47" s="14" t="n"/>
      <c r="F47" s="19" t="n"/>
      <c r="G47" s="19" t="n"/>
      <c r="H47" s="19">
        <f>IF(AND(F47="",G47=""),"",N(H46)+N(F47)-N(G47))</f>
        <v/>
      </c>
    </row>
    <row r="48">
      <c r="A48" s="20" t="n"/>
      <c r="B48" s="21" t="n"/>
      <c r="C48" s="21" t="n"/>
      <c r="D48" s="21" t="n"/>
      <c r="E48" s="21" t="n"/>
      <c r="F48" s="26" t="n"/>
      <c r="G48" s="26" t="n"/>
      <c r="H48" s="26">
        <f>IF(AND(F48="",G48=""),"",N(H47)+N(F48)-N(G48))</f>
        <v/>
      </c>
    </row>
    <row r="49">
      <c r="A49" s="13" t="n"/>
      <c r="B49" s="14" t="n"/>
      <c r="C49" s="14" t="n"/>
      <c r="D49" s="14" t="n"/>
      <c r="E49" s="14" t="n"/>
      <c r="F49" s="19" t="n"/>
      <c r="G49" s="19" t="n"/>
      <c r="H49" s="19">
        <f>IF(AND(F49="",G49=""),"",N(H48)+N(F49)-N(G49))</f>
        <v/>
      </c>
    </row>
    <row r="50">
      <c r="A50" s="20" t="n"/>
      <c r="B50" s="21" t="n"/>
      <c r="C50" s="21" t="n"/>
      <c r="D50" s="21" t="n"/>
      <c r="E50" s="21" t="n"/>
      <c r="F50" s="26" t="n"/>
      <c r="G50" s="26" t="n"/>
      <c r="H50" s="26">
        <f>IF(AND(F50="",G50=""),"",N(H49)+N(F50)-N(G50))</f>
        <v/>
      </c>
    </row>
    <row r="51">
      <c r="A51" s="13" t="n"/>
      <c r="B51" s="14" t="n"/>
      <c r="C51" s="14" t="n"/>
      <c r="D51" s="14" t="n"/>
      <c r="E51" s="14" t="n"/>
      <c r="F51" s="19" t="n"/>
      <c r="G51" s="19" t="n"/>
      <c r="H51" s="19">
        <f>IF(AND(F51="",G51=""),"",N(H50)+N(F51)-N(G51))</f>
        <v/>
      </c>
    </row>
    <row r="52">
      <c r="A52" s="20" t="n"/>
      <c r="B52" s="21" t="n"/>
      <c r="C52" s="21" t="n"/>
      <c r="D52" s="21" t="n"/>
      <c r="E52" s="21" t="n"/>
      <c r="F52" s="26" t="n"/>
      <c r="G52" s="26" t="n"/>
      <c r="H52" s="26">
        <f>IF(AND(F52="",G52=""),"",N(H51)+N(F52)-N(G52))</f>
        <v/>
      </c>
    </row>
    <row r="53">
      <c r="A53" s="13" t="n"/>
      <c r="B53" s="14" t="n"/>
      <c r="C53" s="14" t="n"/>
      <c r="D53" s="14" t="n"/>
      <c r="E53" s="14" t="n"/>
      <c r="F53" s="19" t="n"/>
      <c r="G53" s="19" t="n"/>
      <c r="H53" s="19">
        <f>IF(AND(F53="",G53=""),"",N(H52)+N(F53)-N(G53))</f>
        <v/>
      </c>
    </row>
    <row r="54">
      <c r="A54" s="20" t="n"/>
      <c r="B54" s="21" t="n"/>
      <c r="C54" s="21" t="n"/>
      <c r="D54" s="21" t="n"/>
      <c r="E54" s="21" t="n"/>
      <c r="F54" s="26" t="n"/>
      <c r="G54" s="26" t="n"/>
      <c r="H54" s="26">
        <f>IF(AND(F54="",G54=""),"",N(H53)+N(F54)-N(G54))</f>
        <v/>
      </c>
    </row>
    <row r="55">
      <c r="A55" s="13" t="n"/>
      <c r="B55" s="14" t="n"/>
      <c r="C55" s="14" t="n"/>
      <c r="D55" s="14" t="n"/>
      <c r="E55" s="14" t="n"/>
      <c r="F55" s="19" t="n"/>
      <c r="G55" s="19" t="n"/>
      <c r="H55" s="19">
        <f>IF(AND(F55="",G55=""),"",N(H54)+N(F55)-N(G55))</f>
        <v/>
      </c>
    </row>
    <row r="56">
      <c r="A56" s="20" t="n"/>
      <c r="B56" s="21" t="n"/>
      <c r="C56" s="21" t="n"/>
      <c r="D56" s="21" t="n"/>
      <c r="E56" s="21" t="n"/>
      <c r="F56" s="26" t="n"/>
      <c r="G56" s="26" t="n"/>
      <c r="H56" s="26">
        <f>IF(AND(F56="",G56=""),"",N(H55)+N(F56)-N(G56))</f>
        <v/>
      </c>
    </row>
    <row r="57">
      <c r="A57" s="13" t="n"/>
      <c r="B57" s="14" t="n"/>
      <c r="C57" s="14" t="n"/>
      <c r="D57" s="14" t="n"/>
      <c r="E57" s="14" t="n"/>
      <c r="F57" s="19" t="n"/>
      <c r="G57" s="19" t="n"/>
      <c r="H57" s="19">
        <f>IF(AND(F57="",G57=""),"",N(H56)+N(F57)-N(G57))</f>
        <v/>
      </c>
    </row>
    <row r="58">
      <c r="A58" s="20" t="n"/>
      <c r="B58" s="21" t="n"/>
      <c r="C58" s="21" t="n"/>
      <c r="D58" s="21" t="n"/>
      <c r="E58" s="21" t="n"/>
      <c r="F58" s="26" t="n"/>
      <c r="G58" s="26" t="n"/>
      <c r="H58" s="26">
        <f>IF(AND(F58="",G58=""),"",N(H57)+N(F58)-N(G58))</f>
        <v/>
      </c>
    </row>
    <row r="59">
      <c r="A59" s="13" t="n"/>
      <c r="B59" s="14" t="n"/>
      <c r="C59" s="14" t="n"/>
      <c r="D59" s="14" t="n"/>
      <c r="E59" s="14" t="n"/>
      <c r="F59" s="19" t="n"/>
      <c r="G59" s="19" t="n"/>
      <c r="H59" s="19">
        <f>IF(AND(F59="",G59=""),"",N(H58)+N(F59)-N(G59))</f>
        <v/>
      </c>
    </row>
    <row r="60">
      <c r="A60" s="20" t="n"/>
      <c r="B60" s="21" t="n"/>
      <c r="C60" s="21" t="n"/>
      <c r="D60" s="21" t="n"/>
      <c r="E60" s="21" t="n"/>
      <c r="F60" s="26" t="n"/>
      <c r="G60" s="26" t="n"/>
      <c r="H60" s="26">
        <f>IF(AND(F60="",G60=""),"",N(H59)+N(F60)-N(G60))</f>
        <v/>
      </c>
    </row>
    <row r="61">
      <c r="A61" s="13" t="n"/>
      <c r="B61" s="14" t="n"/>
      <c r="C61" s="14" t="n"/>
      <c r="D61" s="14" t="n"/>
      <c r="E61" s="14" t="n"/>
      <c r="F61" s="19" t="n"/>
      <c r="G61" s="19" t="n"/>
      <c r="H61" s="19">
        <f>IF(AND(F61="",G61=""),"",N(H60)+N(F61)-N(G61))</f>
        <v/>
      </c>
    </row>
    <row r="62">
      <c r="A62" s="20" t="n"/>
      <c r="B62" s="21" t="n"/>
      <c r="C62" s="21" t="n"/>
      <c r="D62" s="21" t="n"/>
      <c r="E62" s="21" t="n"/>
      <c r="F62" s="26" t="n"/>
      <c r="G62" s="26" t="n"/>
      <c r="H62" s="26">
        <f>IF(AND(F62="",G62=""),"",N(H61)+N(F62)-N(G62))</f>
        <v/>
      </c>
    </row>
    <row r="63">
      <c r="A63" s="13" t="n"/>
      <c r="B63" s="14" t="n"/>
      <c r="C63" s="14" t="n"/>
      <c r="D63" s="14" t="n"/>
      <c r="E63" s="14" t="n"/>
      <c r="F63" s="19" t="n"/>
      <c r="G63" s="19" t="n"/>
      <c r="H63" s="19">
        <f>IF(AND(F63="",G63=""),"",N(H62)+N(F63)-N(G63))</f>
        <v/>
      </c>
    </row>
    <row r="64">
      <c r="A64" s="20" t="n"/>
      <c r="B64" s="21" t="n"/>
      <c r="C64" s="21" t="n"/>
      <c r="D64" s="21" t="n"/>
      <c r="E64" s="21" t="n"/>
      <c r="F64" s="26" t="n"/>
      <c r="G64" s="26" t="n"/>
      <c r="H64" s="26">
        <f>IF(AND(F64="",G64=""),"",N(H63)+N(F64)-N(G64))</f>
        <v/>
      </c>
    </row>
    <row r="65">
      <c r="A65" s="13" t="n"/>
      <c r="B65" s="14" t="n"/>
      <c r="C65" s="14" t="n"/>
      <c r="D65" s="14" t="n"/>
      <c r="E65" s="14" t="n"/>
      <c r="F65" s="19" t="n"/>
      <c r="G65" s="19" t="n"/>
      <c r="H65" s="19">
        <f>IF(AND(F65="",G65=""),"",N(H64)+N(F65)-N(G65))</f>
        <v/>
      </c>
    </row>
    <row r="66">
      <c r="A66" s="20" t="n"/>
      <c r="B66" s="21" t="n"/>
      <c r="C66" s="21" t="n"/>
      <c r="D66" s="21" t="n"/>
      <c r="E66" s="21" t="n"/>
      <c r="F66" s="26" t="n"/>
      <c r="G66" s="26" t="n"/>
      <c r="H66" s="26">
        <f>IF(AND(F66="",G66=""),"",N(H65)+N(F66)-N(G66))</f>
        <v/>
      </c>
    </row>
    <row r="67">
      <c r="A67" s="13" t="n"/>
      <c r="B67" s="14" t="n"/>
      <c r="C67" s="14" t="n"/>
      <c r="D67" s="14" t="n"/>
      <c r="E67" s="14" t="n"/>
      <c r="F67" s="19" t="n"/>
      <c r="G67" s="19" t="n"/>
      <c r="H67" s="19">
        <f>IF(AND(F67="",G67=""),"",N(H66)+N(F67)-N(G67))</f>
        <v/>
      </c>
    </row>
    <row r="68">
      <c r="A68" s="20" t="n"/>
      <c r="B68" s="21" t="n"/>
      <c r="C68" s="21" t="n"/>
      <c r="D68" s="21" t="n"/>
      <c r="E68" s="21" t="n"/>
      <c r="F68" s="26" t="n"/>
      <c r="G68" s="26" t="n"/>
      <c r="H68" s="26">
        <f>IF(AND(F68="",G68=""),"",N(H67)+N(F68)-N(G68))</f>
        <v/>
      </c>
    </row>
    <row r="69">
      <c r="A69" s="13" t="n"/>
      <c r="B69" s="14" t="n"/>
      <c r="C69" s="14" t="n"/>
      <c r="D69" s="14" t="n"/>
      <c r="E69" s="14" t="n"/>
      <c r="F69" s="19" t="n"/>
      <c r="G69" s="19" t="n"/>
      <c r="H69" s="19">
        <f>IF(AND(F69="",G69=""),"",N(H68)+N(F69)-N(G69))</f>
        <v/>
      </c>
    </row>
    <row r="70">
      <c r="A70" s="20" t="n"/>
      <c r="B70" s="21" t="n"/>
      <c r="C70" s="21" t="n"/>
      <c r="D70" s="21" t="n"/>
      <c r="E70" s="21" t="n"/>
      <c r="F70" s="26" t="n"/>
      <c r="G70" s="26" t="n"/>
      <c r="H70" s="26">
        <f>IF(AND(F70="",G70=""),"",N(H69)+N(F70)-N(G70))</f>
        <v/>
      </c>
    </row>
    <row r="71">
      <c r="A71" s="13" t="n"/>
      <c r="B71" s="14" t="n"/>
      <c r="C71" s="14" t="n"/>
      <c r="D71" s="14" t="n"/>
      <c r="E71" s="14" t="n"/>
      <c r="F71" s="19" t="n"/>
      <c r="G71" s="19" t="n"/>
      <c r="H71" s="19">
        <f>IF(AND(F71="",G71=""),"",N(H70)+N(F71)-N(G71))</f>
        <v/>
      </c>
    </row>
    <row r="72">
      <c r="A72" s="20" t="n"/>
      <c r="B72" s="21" t="n"/>
      <c r="C72" s="21" t="n"/>
      <c r="D72" s="21" t="n"/>
      <c r="E72" s="21" t="n"/>
      <c r="F72" s="26" t="n"/>
      <c r="G72" s="26" t="n"/>
      <c r="H72" s="26">
        <f>IF(AND(F72="",G72=""),"",N(H71)+N(F72)-N(G72))</f>
        <v/>
      </c>
    </row>
    <row r="73">
      <c r="A73" s="13" t="n"/>
      <c r="B73" s="14" t="n"/>
      <c r="C73" s="14" t="n"/>
      <c r="D73" s="14" t="n"/>
      <c r="E73" s="14" t="n"/>
      <c r="F73" s="19" t="n"/>
      <c r="G73" s="19" t="n"/>
      <c r="H73" s="19">
        <f>IF(AND(F73="",G73=""),"",N(H72)+N(F73)-N(G73))</f>
        <v/>
      </c>
    </row>
    <row r="74">
      <c r="A74" s="20" t="n"/>
      <c r="B74" s="21" t="n"/>
      <c r="C74" s="21" t="n"/>
      <c r="D74" s="21" t="n"/>
      <c r="E74" s="21" t="n"/>
      <c r="F74" s="26" t="n"/>
      <c r="G74" s="26" t="n"/>
      <c r="H74" s="26">
        <f>IF(AND(F74="",G74=""),"",N(H73)+N(F74)-N(G74))</f>
        <v/>
      </c>
    </row>
    <row r="75">
      <c r="A75" s="13" t="n"/>
      <c r="B75" s="14" t="n"/>
      <c r="C75" s="14" t="n"/>
      <c r="D75" s="14" t="n"/>
      <c r="E75" s="14" t="n"/>
      <c r="F75" s="19" t="n"/>
      <c r="G75" s="19" t="n"/>
      <c r="H75" s="19">
        <f>IF(AND(F75="",G75=""),"",N(H74)+N(F75)-N(G75))</f>
        <v/>
      </c>
    </row>
    <row r="76">
      <c r="A76" s="20" t="n"/>
      <c r="B76" s="21" t="n"/>
      <c r="C76" s="21" t="n"/>
      <c r="D76" s="21" t="n"/>
      <c r="E76" s="21" t="n"/>
      <c r="F76" s="26" t="n"/>
      <c r="G76" s="26" t="n"/>
      <c r="H76" s="26">
        <f>IF(AND(F76="",G76=""),"",N(H75)+N(F76)-N(G76))</f>
        <v/>
      </c>
    </row>
    <row r="77">
      <c r="A77" s="13" t="n"/>
      <c r="B77" s="14" t="n"/>
      <c r="C77" s="14" t="n"/>
      <c r="D77" s="14" t="n"/>
      <c r="E77" s="14" t="n"/>
      <c r="F77" s="19" t="n"/>
      <c r="G77" s="19" t="n"/>
      <c r="H77" s="19">
        <f>IF(AND(F77="",G77=""),"",N(H76)+N(F77)-N(G77))</f>
        <v/>
      </c>
    </row>
    <row r="78">
      <c r="A78" s="20" t="n"/>
      <c r="B78" s="21" t="n"/>
      <c r="C78" s="21" t="n"/>
      <c r="D78" s="21" t="n"/>
      <c r="E78" s="21" t="n"/>
      <c r="F78" s="26" t="n"/>
      <c r="G78" s="26" t="n"/>
      <c r="H78" s="26">
        <f>IF(AND(F78="",G78=""),"",N(H77)+N(F78)-N(G78))</f>
        <v/>
      </c>
    </row>
    <row r="79">
      <c r="A79" s="13" t="n"/>
      <c r="B79" s="14" t="n"/>
      <c r="C79" s="14" t="n"/>
      <c r="D79" s="14" t="n"/>
      <c r="E79" s="14" t="n"/>
      <c r="F79" s="19" t="n"/>
      <c r="G79" s="19" t="n"/>
      <c r="H79" s="19">
        <f>IF(AND(F79="",G79=""),"",N(H78)+N(F79)-N(G79))</f>
        <v/>
      </c>
    </row>
    <row r="80">
      <c r="A80" s="20" t="n"/>
      <c r="B80" s="21" t="n"/>
      <c r="C80" s="21" t="n"/>
      <c r="D80" s="21" t="n"/>
      <c r="E80" s="21" t="n"/>
      <c r="F80" s="26" t="n"/>
      <c r="G80" s="26" t="n"/>
      <c r="H80" s="26">
        <f>IF(AND(F80="",G80=""),"",N(H79)+N(F80)-N(G80))</f>
        <v/>
      </c>
    </row>
    <row r="81">
      <c r="A81" s="13" t="n"/>
      <c r="B81" s="14" t="n"/>
      <c r="C81" s="14" t="n"/>
      <c r="D81" s="14" t="n"/>
      <c r="E81" s="14" t="n"/>
      <c r="F81" s="19" t="n"/>
      <c r="G81" s="19" t="n"/>
      <c r="H81" s="19">
        <f>IF(AND(F81="",G81=""),"",N(H80)+N(F81)-N(G81))</f>
        <v/>
      </c>
    </row>
    <row r="82">
      <c r="A82" s="20" t="n"/>
      <c r="B82" s="21" t="n"/>
      <c r="C82" s="21" t="n"/>
      <c r="D82" s="21" t="n"/>
      <c r="E82" s="21" t="n"/>
      <c r="F82" s="26" t="n"/>
      <c r="G82" s="26" t="n"/>
      <c r="H82" s="26">
        <f>IF(AND(F82="",G82=""),"",N(H81)+N(F82)-N(G82))</f>
        <v/>
      </c>
    </row>
    <row r="83">
      <c r="A83" s="13" t="n"/>
      <c r="B83" s="14" t="n"/>
      <c r="C83" s="14" t="n"/>
      <c r="D83" s="14" t="n"/>
      <c r="E83" s="14" t="n"/>
      <c r="F83" s="19" t="n"/>
      <c r="G83" s="19" t="n"/>
      <c r="H83" s="19">
        <f>IF(AND(F83="",G83=""),"",N(H82)+N(F83)-N(G83))</f>
        <v/>
      </c>
    </row>
    <row r="84">
      <c r="A84" s="20" t="n"/>
      <c r="B84" s="21" t="n"/>
      <c r="C84" s="21" t="n"/>
      <c r="D84" s="21" t="n"/>
      <c r="E84" s="21" t="n"/>
      <c r="F84" s="26" t="n"/>
      <c r="G84" s="26" t="n"/>
      <c r="H84" s="26">
        <f>IF(AND(F84="",G84=""),"",N(H83)+N(F84)-N(G84))</f>
        <v/>
      </c>
    </row>
    <row r="85">
      <c r="A85" s="13" t="n"/>
      <c r="B85" s="14" t="n"/>
      <c r="C85" s="14" t="n"/>
      <c r="D85" s="14" t="n"/>
      <c r="E85" s="14" t="n"/>
      <c r="F85" s="19" t="n"/>
      <c r="G85" s="19" t="n"/>
      <c r="H85" s="19">
        <f>IF(AND(F85="",G85=""),"",N(H84)+N(F85)-N(G85))</f>
        <v/>
      </c>
    </row>
    <row r="86">
      <c r="A86" s="20" t="n"/>
      <c r="B86" s="21" t="n"/>
      <c r="C86" s="21" t="n"/>
      <c r="D86" s="21" t="n"/>
      <c r="E86" s="21" t="n"/>
      <c r="F86" s="26" t="n"/>
      <c r="G86" s="26" t="n"/>
      <c r="H86" s="26">
        <f>IF(AND(F86="",G86=""),"",N(H85)+N(F86)-N(G86))</f>
        <v/>
      </c>
    </row>
    <row r="87">
      <c r="A87" s="13" t="n"/>
      <c r="B87" s="14" t="n"/>
      <c r="C87" s="14" t="n"/>
      <c r="D87" s="14" t="n"/>
      <c r="E87" s="14" t="n"/>
      <c r="F87" s="19" t="n"/>
      <c r="G87" s="19" t="n"/>
      <c r="H87" s="19">
        <f>IF(AND(F87="",G87=""),"",N(H86)+N(F87)-N(G87))</f>
        <v/>
      </c>
    </row>
    <row r="88">
      <c r="A88" s="20" t="n"/>
      <c r="B88" s="21" t="n"/>
      <c r="C88" s="21" t="n"/>
      <c r="D88" s="21" t="n"/>
      <c r="E88" s="21" t="n"/>
      <c r="F88" s="26" t="n"/>
      <c r="G88" s="26" t="n"/>
      <c r="H88" s="26">
        <f>IF(AND(F88="",G88=""),"",N(H87)+N(F88)-N(G88))</f>
        <v/>
      </c>
    </row>
    <row r="89">
      <c r="A89" s="13" t="n"/>
      <c r="B89" s="14" t="n"/>
      <c r="C89" s="14" t="n"/>
      <c r="D89" s="14" t="n"/>
      <c r="E89" s="14" t="n"/>
      <c r="F89" s="19" t="n"/>
      <c r="G89" s="19" t="n"/>
      <c r="H89" s="19">
        <f>IF(AND(F89="",G89=""),"",N(H88)+N(F89)-N(G89))</f>
        <v/>
      </c>
    </row>
    <row r="90">
      <c r="A90" s="20" t="n"/>
      <c r="B90" s="21" t="n"/>
      <c r="C90" s="21" t="n"/>
      <c r="D90" s="21" t="n"/>
      <c r="E90" s="21" t="n"/>
      <c r="F90" s="26" t="n"/>
      <c r="G90" s="26" t="n"/>
      <c r="H90" s="26">
        <f>IF(AND(F90="",G90=""),"",N(H89)+N(F90)-N(G90))</f>
        <v/>
      </c>
    </row>
    <row r="91">
      <c r="A91" s="13" t="n"/>
      <c r="B91" s="14" t="n"/>
      <c r="C91" s="14" t="n"/>
      <c r="D91" s="14" t="n"/>
      <c r="E91" s="14" t="n"/>
      <c r="F91" s="19" t="n"/>
      <c r="G91" s="19" t="n"/>
      <c r="H91" s="19">
        <f>IF(AND(F91="",G91=""),"",N(H90)+N(F91)-N(G91))</f>
        <v/>
      </c>
    </row>
    <row r="92">
      <c r="A92" s="20" t="n"/>
      <c r="B92" s="21" t="n"/>
      <c r="C92" s="21" t="n"/>
      <c r="D92" s="21" t="n"/>
      <c r="E92" s="21" t="n"/>
      <c r="F92" s="26" t="n"/>
      <c r="G92" s="26" t="n"/>
      <c r="H92" s="26">
        <f>IF(AND(F92="",G92=""),"",N(H91)+N(F92)-N(G92))</f>
        <v/>
      </c>
    </row>
    <row r="93">
      <c r="A93" s="13" t="n"/>
      <c r="B93" s="14" t="n"/>
      <c r="C93" s="14" t="n"/>
      <c r="D93" s="14" t="n"/>
      <c r="E93" s="14" t="n"/>
      <c r="F93" s="19" t="n"/>
      <c r="G93" s="19" t="n"/>
      <c r="H93" s="19">
        <f>IF(AND(F93="",G93=""),"",N(H92)+N(F93)-N(G93))</f>
        <v/>
      </c>
    </row>
    <row r="94">
      <c r="A94" s="20" t="n"/>
      <c r="B94" s="21" t="n"/>
      <c r="C94" s="21" t="n"/>
      <c r="D94" s="21" t="n"/>
      <c r="E94" s="21" t="n"/>
      <c r="F94" s="26" t="n"/>
      <c r="G94" s="26" t="n"/>
      <c r="H94" s="26">
        <f>IF(AND(F94="",G94=""),"",N(H93)+N(F94)-N(G94))</f>
        <v/>
      </c>
    </row>
    <row r="95">
      <c r="A95" s="13" t="n"/>
      <c r="B95" s="14" t="n"/>
      <c r="C95" s="14" t="n"/>
      <c r="D95" s="14" t="n"/>
      <c r="E95" s="14" t="n"/>
      <c r="F95" s="19" t="n"/>
      <c r="G95" s="19" t="n"/>
      <c r="H95" s="19">
        <f>IF(AND(F95="",G95=""),"",N(H94)+N(F95)-N(G95))</f>
        <v/>
      </c>
    </row>
    <row r="96">
      <c r="A96" s="20" t="n"/>
      <c r="B96" s="21" t="n"/>
      <c r="C96" s="21" t="n"/>
      <c r="D96" s="21" t="n"/>
      <c r="E96" s="21" t="n"/>
      <c r="F96" s="26" t="n"/>
      <c r="G96" s="26" t="n"/>
      <c r="H96" s="26">
        <f>IF(AND(F96="",G96=""),"",N(H95)+N(F96)-N(G96))</f>
        <v/>
      </c>
    </row>
    <row r="97">
      <c r="A97" s="13" t="n"/>
      <c r="B97" s="14" t="n"/>
      <c r="C97" s="14" t="n"/>
      <c r="D97" s="14" t="n"/>
      <c r="E97" s="14" t="n"/>
      <c r="F97" s="19" t="n"/>
      <c r="G97" s="19" t="n"/>
      <c r="H97" s="19">
        <f>IF(AND(F97="",G97=""),"",N(H96)+N(F97)-N(G97))</f>
        <v/>
      </c>
    </row>
    <row r="98">
      <c r="A98" s="20" t="n"/>
      <c r="B98" s="21" t="n"/>
      <c r="C98" s="21" t="n"/>
      <c r="D98" s="21" t="n"/>
      <c r="E98" s="21" t="n"/>
      <c r="F98" s="26" t="n"/>
      <c r="G98" s="26" t="n"/>
      <c r="H98" s="26">
        <f>IF(AND(F98="",G98=""),"",N(H97)+N(F98)-N(G98))</f>
        <v/>
      </c>
    </row>
    <row r="99">
      <c r="A99" s="13" t="n"/>
      <c r="B99" s="14" t="n"/>
      <c r="C99" s="14" t="n"/>
      <c r="D99" s="14" t="n"/>
      <c r="E99" s="14" t="n"/>
      <c r="F99" s="19" t="n"/>
      <c r="G99" s="19" t="n"/>
      <c r="H99" s="19">
        <f>IF(AND(F99="",G99=""),"",N(H98)+N(F99)-N(G99))</f>
        <v/>
      </c>
    </row>
    <row r="100">
      <c r="A100" s="20" t="n"/>
      <c r="B100" s="21" t="n"/>
      <c r="C100" s="21" t="n"/>
      <c r="D100" s="21" t="n"/>
      <c r="E100" s="21" t="n"/>
      <c r="F100" s="26" t="n"/>
      <c r="G100" s="26" t="n"/>
      <c r="H100" s="26">
        <f>IF(AND(F100="",G100=""),"",N(H99)+N(F100)-N(G100))</f>
        <v/>
      </c>
    </row>
    <row r="101">
      <c r="A101" s="13" t="n"/>
      <c r="B101" s="14" t="n"/>
      <c r="C101" s="14" t="n"/>
      <c r="D101" s="14" t="n"/>
      <c r="E101" s="14" t="n"/>
      <c r="F101" s="19" t="n"/>
      <c r="G101" s="19" t="n"/>
      <c r="H101" s="19">
        <f>IF(AND(F101="",G101=""),"",N(H100)+N(F101)-N(G101))</f>
        <v/>
      </c>
    </row>
    <row r="102">
      <c r="A102" s="20" t="n"/>
      <c r="B102" s="21" t="n"/>
      <c r="C102" s="21" t="n"/>
      <c r="D102" s="21" t="n"/>
      <c r="E102" s="21" t="n"/>
      <c r="F102" s="26" t="n"/>
      <c r="G102" s="26" t="n"/>
      <c r="H102" s="26">
        <f>IF(AND(F102="",G102=""),"",N(H101)+N(F102)-N(G102))</f>
        <v/>
      </c>
    </row>
    <row r="103">
      <c r="A103" s="13" t="n"/>
      <c r="B103" s="14" t="n"/>
      <c r="C103" s="14" t="n"/>
      <c r="D103" s="14" t="n"/>
      <c r="E103" s="14" t="n"/>
      <c r="F103" s="19" t="n"/>
      <c r="G103" s="19" t="n"/>
      <c r="H103" s="19">
        <f>IF(AND(F103="",G103=""),"",N(H102)+N(F103)-N(G103))</f>
        <v/>
      </c>
    </row>
    <row r="104">
      <c r="A104" s="20" t="n"/>
      <c r="B104" s="21" t="n"/>
      <c r="C104" s="21" t="n"/>
      <c r="D104" s="21" t="n"/>
      <c r="E104" s="21" t="n"/>
      <c r="F104" s="26" t="n"/>
      <c r="G104" s="26" t="n"/>
      <c r="H104" s="26">
        <f>IF(AND(F104="",G104=""),"",N(H103)+N(F104)-N(G104))</f>
        <v/>
      </c>
    </row>
    <row r="105">
      <c r="A105" s="13" t="n"/>
      <c r="B105" s="14" t="n"/>
      <c r="C105" s="14" t="n"/>
      <c r="D105" s="14" t="n"/>
      <c r="E105" s="14" t="n"/>
      <c r="F105" s="19" t="n"/>
      <c r="G105" s="19" t="n"/>
      <c r="H105" s="19">
        <f>IF(AND(F105="",G105=""),"",N(H104)+N(F105)-N(G105))</f>
        <v/>
      </c>
    </row>
    <row r="106">
      <c r="A106" s="20" t="n"/>
      <c r="B106" s="21" t="n"/>
      <c r="C106" s="21" t="n"/>
      <c r="D106" s="21" t="n"/>
      <c r="E106" s="21" t="n"/>
      <c r="F106" s="26" t="n"/>
      <c r="G106" s="26" t="n"/>
      <c r="H106" s="26">
        <f>IF(AND(F106="",G106=""),"",N(H105)+N(F106)-N(G106))</f>
        <v/>
      </c>
    </row>
    <row r="107">
      <c r="A107" s="13" t="n"/>
      <c r="B107" s="14" t="n"/>
      <c r="C107" s="14" t="n"/>
      <c r="D107" s="14" t="n"/>
      <c r="E107" s="14" t="n"/>
      <c r="F107" s="19" t="n"/>
      <c r="G107" s="19" t="n"/>
      <c r="H107" s="19">
        <f>IF(AND(F107="",G107=""),"",N(H106)+N(F107)-N(G107))</f>
        <v/>
      </c>
    </row>
    <row r="108">
      <c r="A108" s="20" t="n"/>
      <c r="B108" s="21" t="n"/>
      <c r="C108" s="21" t="n"/>
      <c r="D108" s="21" t="n"/>
      <c r="E108" s="21" t="n"/>
      <c r="F108" s="26" t="n"/>
      <c r="G108" s="26" t="n"/>
      <c r="H108" s="26">
        <f>IF(AND(F108="",G108=""),"",N(H107)+N(F108)-N(G108))</f>
        <v/>
      </c>
    </row>
    <row r="109">
      <c r="A109" s="13" t="n"/>
      <c r="B109" s="14" t="n"/>
      <c r="C109" s="14" t="n"/>
      <c r="D109" s="14" t="n"/>
      <c r="E109" s="14" t="n"/>
      <c r="F109" s="19" t="n"/>
      <c r="G109" s="19" t="n"/>
      <c r="H109" s="19">
        <f>IF(AND(F109="",G109=""),"",N(H108)+N(F109)-N(G109))</f>
        <v/>
      </c>
    </row>
    <row r="110">
      <c r="A110" s="20" t="n"/>
      <c r="B110" s="21" t="n"/>
      <c r="C110" s="21" t="n"/>
      <c r="D110" s="21" t="n"/>
      <c r="E110" s="21" t="n"/>
      <c r="F110" s="26" t="n"/>
      <c r="G110" s="26" t="n"/>
      <c r="H110" s="26">
        <f>IF(AND(F110="",G110=""),"",N(H109)+N(F110)-N(G110))</f>
        <v/>
      </c>
    </row>
    <row r="111">
      <c r="A111" s="13" t="n"/>
      <c r="B111" s="14" t="n"/>
      <c r="C111" s="14" t="n"/>
      <c r="D111" s="14" t="n"/>
      <c r="E111" s="14" t="n"/>
      <c r="F111" s="19" t="n"/>
      <c r="G111" s="19" t="n"/>
      <c r="H111" s="19">
        <f>IF(AND(F111="",G111=""),"",N(H110)+N(F111)-N(G111))</f>
        <v/>
      </c>
    </row>
    <row r="112">
      <c r="A112" s="20" t="n"/>
      <c r="B112" s="21" t="n"/>
      <c r="C112" s="21" t="n"/>
      <c r="D112" s="21" t="n"/>
      <c r="E112" s="21" t="n"/>
      <c r="F112" s="26" t="n"/>
      <c r="G112" s="26" t="n"/>
      <c r="H112" s="26">
        <f>IF(AND(F112="",G112=""),"",N(H111)+N(F112)-N(G112))</f>
        <v/>
      </c>
    </row>
    <row r="113">
      <c r="A113" s="13" t="n"/>
      <c r="B113" s="14" t="n"/>
      <c r="C113" s="14" t="n"/>
      <c r="D113" s="14" t="n"/>
      <c r="E113" s="14" t="n"/>
      <c r="F113" s="19" t="n"/>
      <c r="G113" s="19" t="n"/>
      <c r="H113" s="19">
        <f>IF(AND(F113="",G113=""),"",N(H112)+N(F113)-N(G113))</f>
        <v/>
      </c>
    </row>
    <row r="114">
      <c r="A114" s="20" t="n"/>
      <c r="B114" s="21" t="n"/>
      <c r="C114" s="21" t="n"/>
      <c r="D114" s="21" t="n"/>
      <c r="E114" s="21" t="n"/>
      <c r="F114" s="26" t="n"/>
      <c r="G114" s="26" t="n"/>
      <c r="H114" s="26">
        <f>IF(AND(F114="",G114=""),"",N(H113)+N(F114)-N(G114))</f>
        <v/>
      </c>
    </row>
    <row r="115">
      <c r="A115" s="13" t="n"/>
      <c r="B115" s="14" t="n"/>
      <c r="C115" s="14" t="n"/>
      <c r="D115" s="14" t="n"/>
      <c r="E115" s="14" t="n"/>
      <c r="F115" s="19" t="n"/>
      <c r="G115" s="19" t="n"/>
      <c r="H115" s="19">
        <f>IF(AND(F115="",G115=""),"",N(H114)+N(F115)-N(G115))</f>
        <v/>
      </c>
    </row>
    <row r="116">
      <c r="A116" s="20" t="n"/>
      <c r="B116" s="21" t="n"/>
      <c r="C116" s="21" t="n"/>
      <c r="D116" s="21" t="n"/>
      <c r="E116" s="21" t="n"/>
      <c r="F116" s="26" t="n"/>
      <c r="G116" s="26" t="n"/>
      <c r="H116" s="26">
        <f>IF(AND(F116="",G116=""),"",N(H115)+N(F116)-N(G116))</f>
        <v/>
      </c>
    </row>
    <row r="117">
      <c r="A117" s="13" t="n"/>
      <c r="B117" s="14" t="n"/>
      <c r="C117" s="14" t="n"/>
      <c r="D117" s="14" t="n"/>
      <c r="E117" s="14" t="n"/>
      <c r="F117" s="19" t="n"/>
      <c r="G117" s="19" t="n"/>
      <c r="H117" s="19">
        <f>IF(AND(F117="",G117=""),"",N(H116)+N(F117)-N(G117))</f>
        <v/>
      </c>
    </row>
    <row r="118">
      <c r="A118" s="20" t="n"/>
      <c r="B118" s="21" t="n"/>
      <c r="C118" s="21" t="n"/>
      <c r="D118" s="21" t="n"/>
      <c r="E118" s="21" t="n"/>
      <c r="F118" s="26" t="n"/>
      <c r="G118" s="26" t="n"/>
      <c r="H118" s="26">
        <f>IF(AND(F118="",G118=""),"",N(H117)+N(F118)-N(G118))</f>
        <v/>
      </c>
    </row>
    <row r="119">
      <c r="A119" s="13" t="n"/>
      <c r="B119" s="14" t="n"/>
      <c r="C119" s="14" t="n"/>
      <c r="D119" s="14" t="n"/>
      <c r="E119" s="14" t="n"/>
      <c r="F119" s="19" t="n"/>
      <c r="G119" s="19" t="n"/>
      <c r="H119" s="19">
        <f>IF(AND(F119="",G119=""),"",N(H118)+N(F119)-N(G119))</f>
        <v/>
      </c>
    </row>
    <row r="120">
      <c r="A120" s="20" t="n"/>
      <c r="B120" s="21" t="n"/>
      <c r="C120" s="21" t="n"/>
      <c r="D120" s="21" t="n"/>
      <c r="E120" s="21" t="n"/>
      <c r="F120" s="26" t="n"/>
      <c r="G120" s="26" t="n"/>
      <c r="H120" s="26">
        <f>IF(AND(F120="",G120=""),"",N(H119)+N(F120)-N(G120))</f>
        <v/>
      </c>
    </row>
    <row r="121">
      <c r="A121" s="13" t="n"/>
      <c r="B121" s="14" t="n"/>
      <c r="C121" s="14" t="n"/>
      <c r="D121" s="14" t="n"/>
      <c r="E121" s="14" t="n"/>
      <c r="F121" s="19" t="n"/>
      <c r="G121" s="19" t="n"/>
      <c r="H121" s="19">
        <f>IF(AND(F121="",G121=""),"",N(H120)+N(F121)-N(G121))</f>
        <v/>
      </c>
    </row>
    <row r="122">
      <c r="A122" s="20" t="n"/>
      <c r="B122" s="21" t="n"/>
      <c r="C122" s="21" t="n"/>
      <c r="D122" s="21" t="n"/>
      <c r="E122" s="21" t="n"/>
      <c r="F122" s="26" t="n"/>
      <c r="G122" s="26" t="n"/>
      <c r="H122" s="26">
        <f>IF(AND(F122="",G122=""),"",N(H121)+N(F122)-N(G122))</f>
        <v/>
      </c>
    </row>
    <row r="123">
      <c r="A123" s="13" t="n"/>
      <c r="B123" s="14" t="n"/>
      <c r="C123" s="14" t="n"/>
      <c r="D123" s="14" t="n"/>
      <c r="E123" s="14" t="n"/>
      <c r="F123" s="19" t="n"/>
      <c r="G123" s="19" t="n"/>
      <c r="H123" s="19">
        <f>IF(AND(F123="",G123=""),"",N(H122)+N(F123)-N(G123))</f>
        <v/>
      </c>
    </row>
    <row r="124">
      <c r="A124" s="20" t="n"/>
      <c r="B124" s="21" t="n"/>
      <c r="C124" s="21" t="n"/>
      <c r="D124" s="21" t="n"/>
      <c r="E124" s="21" t="n"/>
      <c r="F124" s="26" t="n"/>
      <c r="G124" s="26" t="n"/>
      <c r="H124" s="26">
        <f>IF(AND(F124="",G124=""),"",N(H123)+N(F124)-N(G124))</f>
        <v/>
      </c>
    </row>
    <row r="125">
      <c r="A125" s="13" t="n"/>
      <c r="B125" s="14" t="n"/>
      <c r="C125" s="14" t="n"/>
      <c r="D125" s="14" t="n"/>
      <c r="E125" s="14" t="n"/>
      <c r="F125" s="19" t="n"/>
      <c r="G125" s="19" t="n"/>
      <c r="H125" s="19">
        <f>IF(AND(F125="",G125=""),"",N(H124)+N(F125)-N(G125))</f>
        <v/>
      </c>
    </row>
    <row r="126">
      <c r="A126" s="20" t="n"/>
      <c r="B126" s="21" t="n"/>
      <c r="C126" s="21" t="n"/>
      <c r="D126" s="21" t="n"/>
      <c r="E126" s="21" t="n"/>
      <c r="F126" s="26" t="n"/>
      <c r="G126" s="26" t="n"/>
      <c r="H126" s="26">
        <f>IF(AND(F126="",G126=""),"",N(H125)+N(F126)-N(G126))</f>
        <v/>
      </c>
    </row>
    <row r="127">
      <c r="A127" s="13" t="n"/>
      <c r="B127" s="14" t="n"/>
      <c r="C127" s="14" t="n"/>
      <c r="D127" s="14" t="n"/>
      <c r="E127" s="14" t="n"/>
      <c r="F127" s="19" t="n"/>
      <c r="G127" s="19" t="n"/>
      <c r="H127" s="19">
        <f>IF(AND(F127="",G127=""),"",N(H126)+N(F127)-N(G127))</f>
        <v/>
      </c>
    </row>
    <row r="128">
      <c r="A128" s="20" t="n"/>
      <c r="B128" s="21" t="n"/>
      <c r="C128" s="21" t="n"/>
      <c r="D128" s="21" t="n"/>
      <c r="E128" s="21" t="n"/>
      <c r="F128" s="26" t="n"/>
      <c r="G128" s="26" t="n"/>
      <c r="H128" s="26">
        <f>IF(AND(F128="",G128=""),"",N(H127)+N(F128)-N(G128))</f>
        <v/>
      </c>
    </row>
    <row r="129">
      <c r="A129" s="13" t="n"/>
      <c r="B129" s="14" t="n"/>
      <c r="C129" s="14" t="n"/>
      <c r="D129" s="14" t="n"/>
      <c r="E129" s="14" t="n"/>
      <c r="F129" s="19" t="n"/>
      <c r="G129" s="19" t="n"/>
      <c r="H129" s="19">
        <f>IF(AND(F129="",G129=""),"",N(H128)+N(F129)-N(G129))</f>
        <v/>
      </c>
    </row>
    <row r="130">
      <c r="A130" s="20" t="n"/>
      <c r="B130" s="21" t="n"/>
      <c r="C130" s="21" t="n"/>
      <c r="D130" s="21" t="n"/>
      <c r="E130" s="21" t="n"/>
      <c r="F130" s="26" t="n"/>
      <c r="G130" s="26" t="n"/>
      <c r="H130" s="26">
        <f>IF(AND(F130="",G130=""),"",N(H129)+N(F130)-N(G130))</f>
        <v/>
      </c>
    </row>
    <row r="131">
      <c r="A131" s="13" t="n"/>
      <c r="B131" s="14" t="n"/>
      <c r="C131" s="14" t="n"/>
      <c r="D131" s="14" t="n"/>
      <c r="E131" s="14" t="n"/>
      <c r="F131" s="19" t="n"/>
      <c r="G131" s="19" t="n"/>
      <c r="H131" s="19">
        <f>IF(AND(F131="",G131=""),"",N(H130)+N(F131)-N(G131))</f>
        <v/>
      </c>
    </row>
    <row r="132">
      <c r="A132" s="20" t="n"/>
      <c r="B132" s="21" t="n"/>
      <c r="C132" s="21" t="n"/>
      <c r="D132" s="21" t="n"/>
      <c r="E132" s="21" t="n"/>
      <c r="F132" s="26" t="n"/>
      <c r="G132" s="26" t="n"/>
      <c r="H132" s="26">
        <f>IF(AND(F132="",G132=""),"",N(H131)+N(F132)-N(G132))</f>
        <v/>
      </c>
    </row>
    <row r="133">
      <c r="A133" s="13" t="n"/>
      <c r="B133" s="14" t="n"/>
      <c r="C133" s="14" t="n"/>
      <c r="D133" s="14" t="n"/>
      <c r="E133" s="14" t="n"/>
      <c r="F133" s="19" t="n"/>
      <c r="G133" s="19" t="n"/>
      <c r="H133" s="19">
        <f>IF(AND(F133="",G133=""),"",N(H132)+N(F133)-N(G133))</f>
        <v/>
      </c>
    </row>
    <row r="134">
      <c r="A134" s="20" t="n"/>
      <c r="B134" s="21" t="n"/>
      <c r="C134" s="21" t="n"/>
      <c r="D134" s="21" t="n"/>
      <c r="E134" s="21" t="n"/>
      <c r="F134" s="26" t="n"/>
      <c r="G134" s="26" t="n"/>
      <c r="H134" s="26">
        <f>IF(AND(F134="",G134=""),"",N(H133)+N(F134)-N(G134))</f>
        <v/>
      </c>
    </row>
    <row r="135">
      <c r="A135" s="13" t="n"/>
      <c r="B135" s="14" t="n"/>
      <c r="C135" s="14" t="n"/>
      <c r="D135" s="14" t="n"/>
      <c r="E135" s="14" t="n"/>
      <c r="F135" s="19" t="n"/>
      <c r="G135" s="19" t="n"/>
      <c r="H135" s="19">
        <f>IF(AND(F135="",G135=""),"",N(H134)+N(F135)-N(G135))</f>
        <v/>
      </c>
    </row>
    <row r="136">
      <c r="A136" s="20" t="n"/>
      <c r="B136" s="21" t="n"/>
      <c r="C136" s="21" t="n"/>
      <c r="D136" s="21" t="n"/>
      <c r="E136" s="21" t="n"/>
      <c r="F136" s="26" t="n"/>
      <c r="G136" s="26" t="n"/>
      <c r="H136" s="26">
        <f>IF(AND(F136="",G136=""),"",N(H135)+N(F136)-N(G136))</f>
        <v/>
      </c>
    </row>
    <row r="137">
      <c r="A137" s="13" t="n"/>
      <c r="B137" s="14" t="n"/>
      <c r="C137" s="14" t="n"/>
      <c r="D137" s="14" t="n"/>
      <c r="E137" s="14" t="n"/>
      <c r="F137" s="19" t="n"/>
      <c r="G137" s="19" t="n"/>
      <c r="H137" s="19">
        <f>IF(AND(F137="",G137=""),"",N(H136)+N(F137)-N(G137))</f>
        <v/>
      </c>
    </row>
    <row r="138">
      <c r="A138" s="20" t="n"/>
      <c r="B138" s="21" t="n"/>
      <c r="C138" s="21" t="n"/>
      <c r="D138" s="21" t="n"/>
      <c r="E138" s="21" t="n"/>
      <c r="F138" s="26" t="n"/>
      <c r="G138" s="26" t="n"/>
      <c r="H138" s="26">
        <f>IF(AND(F138="",G138=""),"",N(H137)+N(F138)-N(G138))</f>
        <v/>
      </c>
    </row>
    <row r="139">
      <c r="A139" s="13" t="n"/>
      <c r="B139" s="14" t="n"/>
      <c r="C139" s="14" t="n"/>
      <c r="D139" s="14" t="n"/>
      <c r="E139" s="14" t="n"/>
      <c r="F139" s="19" t="n"/>
      <c r="G139" s="19" t="n"/>
      <c r="H139" s="19">
        <f>IF(AND(F139="",G139=""),"",N(H138)+N(F139)-N(G139))</f>
        <v/>
      </c>
    </row>
    <row r="140">
      <c r="A140" s="20" t="n"/>
      <c r="B140" s="21" t="n"/>
      <c r="C140" s="21" t="n"/>
      <c r="D140" s="21" t="n"/>
      <c r="E140" s="21" t="n"/>
      <c r="F140" s="26" t="n"/>
      <c r="G140" s="26" t="n"/>
      <c r="H140" s="26">
        <f>IF(AND(F140="",G140=""),"",N(H139)+N(F140)-N(G140))</f>
        <v/>
      </c>
    </row>
    <row r="141">
      <c r="A141" s="13" t="n"/>
      <c r="B141" s="14" t="n"/>
      <c r="C141" s="14" t="n"/>
      <c r="D141" s="14" t="n"/>
      <c r="E141" s="14" t="n"/>
      <c r="F141" s="19" t="n"/>
      <c r="G141" s="19" t="n"/>
      <c r="H141" s="19">
        <f>IF(AND(F141="",G141=""),"",N(H140)+N(F141)-N(G141))</f>
        <v/>
      </c>
    </row>
    <row r="142">
      <c r="A142" s="20" t="n"/>
      <c r="B142" s="21" t="n"/>
      <c r="C142" s="21" t="n"/>
      <c r="D142" s="21" t="n"/>
      <c r="E142" s="21" t="n"/>
      <c r="F142" s="26" t="n"/>
      <c r="G142" s="26" t="n"/>
      <c r="H142" s="26">
        <f>IF(AND(F142="",G142=""),"",N(H141)+N(F142)-N(G142))</f>
        <v/>
      </c>
    </row>
    <row r="143">
      <c r="A143" s="13" t="n"/>
      <c r="B143" s="14" t="n"/>
      <c r="C143" s="14" t="n"/>
      <c r="D143" s="14" t="n"/>
      <c r="E143" s="14" t="n"/>
      <c r="F143" s="19" t="n"/>
      <c r="G143" s="19" t="n"/>
      <c r="H143" s="19">
        <f>IF(AND(F143="",G143=""),"",N(H142)+N(F143)-N(G143))</f>
        <v/>
      </c>
    </row>
    <row r="144">
      <c r="A144" s="20" t="n"/>
      <c r="B144" s="21" t="n"/>
      <c r="C144" s="21" t="n"/>
      <c r="D144" s="21" t="n"/>
      <c r="E144" s="21" t="n"/>
      <c r="F144" s="26" t="n"/>
      <c r="G144" s="26" t="n"/>
      <c r="H144" s="26">
        <f>IF(AND(F144="",G144=""),"",N(H143)+N(F144)-N(G144))</f>
        <v/>
      </c>
    </row>
    <row r="145">
      <c r="A145" s="13" t="n"/>
      <c r="B145" s="14" t="n"/>
      <c r="C145" s="14" t="n"/>
      <c r="D145" s="14" t="n"/>
      <c r="E145" s="14" t="n"/>
      <c r="F145" s="19" t="n"/>
      <c r="G145" s="19" t="n"/>
      <c r="H145" s="19">
        <f>IF(AND(F145="",G145=""),"",N(H144)+N(F145)-N(G145))</f>
        <v/>
      </c>
    </row>
    <row r="146">
      <c r="A146" s="20" t="n"/>
      <c r="B146" s="21" t="n"/>
      <c r="C146" s="21" t="n"/>
      <c r="D146" s="21" t="n"/>
      <c r="E146" s="21" t="n"/>
      <c r="F146" s="26" t="n"/>
      <c r="G146" s="26" t="n"/>
      <c r="H146" s="26">
        <f>IF(AND(F146="",G146=""),"",N(H145)+N(F146)-N(G146))</f>
        <v/>
      </c>
    </row>
    <row r="147">
      <c r="A147" s="13" t="n"/>
      <c r="B147" s="14" t="n"/>
      <c r="C147" s="14" t="n"/>
      <c r="D147" s="14" t="n"/>
      <c r="E147" s="14" t="n"/>
      <c r="F147" s="19" t="n"/>
      <c r="G147" s="19" t="n"/>
      <c r="H147" s="19">
        <f>IF(AND(F147="",G147=""),"",N(H146)+N(F147)-N(G147))</f>
        <v/>
      </c>
    </row>
    <row r="148">
      <c r="A148" s="20" t="n"/>
      <c r="B148" s="21" t="n"/>
      <c r="C148" s="21" t="n"/>
      <c r="D148" s="21" t="n"/>
      <c r="E148" s="21" t="n"/>
      <c r="F148" s="26" t="n"/>
      <c r="G148" s="26" t="n"/>
      <c r="H148" s="26">
        <f>IF(AND(F148="",G148=""),"",N(H147)+N(F148)-N(G148))</f>
        <v/>
      </c>
    </row>
    <row r="149">
      <c r="A149" s="13" t="n"/>
      <c r="B149" s="14" t="n"/>
      <c r="C149" s="14" t="n"/>
      <c r="D149" s="14" t="n"/>
      <c r="E149" s="14" t="n"/>
      <c r="F149" s="19" t="n"/>
      <c r="G149" s="19" t="n"/>
      <c r="H149" s="19">
        <f>IF(AND(F149="",G149=""),"",N(H148)+N(F149)-N(G149))</f>
        <v/>
      </c>
    </row>
    <row r="150">
      <c r="A150" s="20" t="n"/>
      <c r="B150" s="21" t="n"/>
      <c r="C150" s="21" t="n"/>
      <c r="D150" s="21" t="n"/>
      <c r="E150" s="21" t="n"/>
      <c r="F150" s="26" t="n"/>
      <c r="G150" s="26" t="n"/>
      <c r="H150" s="26">
        <f>IF(AND(F150="",G150=""),"",N(H149)+N(F150)-N(G150))</f>
        <v/>
      </c>
    </row>
    <row r="151">
      <c r="A151" s="13" t="n"/>
      <c r="B151" s="14" t="n"/>
      <c r="C151" s="14" t="n"/>
      <c r="D151" s="14" t="n"/>
      <c r="E151" s="14" t="n"/>
      <c r="F151" s="19" t="n"/>
      <c r="G151" s="19" t="n"/>
      <c r="H151" s="19">
        <f>IF(AND(F151="",G151=""),"",N(H150)+N(F151)-N(G151))</f>
        <v/>
      </c>
    </row>
    <row r="152">
      <c r="A152" s="20" t="n"/>
      <c r="B152" s="21" t="n"/>
      <c r="C152" s="21" t="n"/>
      <c r="D152" s="21" t="n"/>
      <c r="E152" s="21" t="n"/>
      <c r="F152" s="26" t="n"/>
      <c r="G152" s="26" t="n"/>
      <c r="H152" s="26">
        <f>IF(AND(F152="",G152=""),"",N(H151)+N(F152)-N(G152))</f>
        <v/>
      </c>
    </row>
    <row r="153">
      <c r="A153" s="13" t="n"/>
      <c r="B153" s="14" t="n"/>
      <c r="C153" s="14" t="n"/>
      <c r="D153" s="14" t="n"/>
      <c r="E153" s="14" t="n"/>
      <c r="F153" s="19" t="n"/>
      <c r="G153" s="19" t="n"/>
      <c r="H153" s="19">
        <f>IF(AND(F153="",G153=""),"",N(H152)+N(F153)-N(G153))</f>
        <v/>
      </c>
    </row>
    <row r="154">
      <c r="A154" s="20" t="n"/>
      <c r="B154" s="21" t="n"/>
      <c r="C154" s="21" t="n"/>
      <c r="D154" s="21" t="n"/>
      <c r="E154" s="21" t="n"/>
      <c r="F154" s="26" t="n"/>
      <c r="G154" s="26" t="n"/>
      <c r="H154" s="26">
        <f>IF(AND(F154="",G154=""),"",N(H153)+N(F154)-N(G154))</f>
        <v/>
      </c>
    </row>
    <row r="155">
      <c r="A155" s="13" t="n"/>
      <c r="B155" s="14" t="n"/>
      <c r="C155" s="14" t="n"/>
      <c r="D155" s="14" t="n"/>
      <c r="E155" s="14" t="n"/>
      <c r="F155" s="19" t="n"/>
      <c r="G155" s="19" t="n"/>
      <c r="H155" s="19">
        <f>IF(AND(F155="",G155=""),"",N(H154)+N(F155)-N(G155))</f>
        <v/>
      </c>
    </row>
    <row r="156">
      <c r="A156" s="20" t="n"/>
      <c r="B156" s="21" t="n"/>
      <c r="C156" s="21" t="n"/>
      <c r="D156" s="21" t="n"/>
      <c r="E156" s="21" t="n"/>
      <c r="F156" s="26" t="n"/>
      <c r="G156" s="26" t="n"/>
      <c r="H156" s="26">
        <f>IF(AND(F156="",G156=""),"",N(H155)+N(F156)-N(G156))</f>
        <v/>
      </c>
    </row>
    <row r="157">
      <c r="A157" s="13" t="n"/>
      <c r="B157" s="14" t="n"/>
      <c r="C157" s="14" t="n"/>
      <c r="D157" s="14" t="n"/>
      <c r="E157" s="14" t="n"/>
      <c r="F157" s="19" t="n"/>
      <c r="G157" s="19" t="n"/>
      <c r="H157" s="19">
        <f>IF(AND(F157="",G157=""),"",N(H156)+N(F157)-N(G157))</f>
        <v/>
      </c>
    </row>
    <row r="158">
      <c r="A158" s="20" t="n"/>
      <c r="B158" s="21" t="n"/>
      <c r="C158" s="21" t="n"/>
      <c r="D158" s="21" t="n"/>
      <c r="E158" s="21" t="n"/>
      <c r="F158" s="26" t="n"/>
      <c r="G158" s="26" t="n"/>
      <c r="H158" s="26">
        <f>IF(AND(F158="",G158=""),"",N(H157)+N(F158)-N(G158))</f>
        <v/>
      </c>
    </row>
    <row r="159">
      <c r="A159" s="13" t="n"/>
      <c r="B159" s="14" t="n"/>
      <c r="C159" s="14" t="n"/>
      <c r="D159" s="14" t="n"/>
      <c r="E159" s="14" t="n"/>
      <c r="F159" s="19" t="n"/>
      <c r="G159" s="19" t="n"/>
      <c r="H159" s="19">
        <f>IF(AND(F159="",G159=""),"",N(H158)+N(F159)-N(G159))</f>
        <v/>
      </c>
    </row>
    <row r="160">
      <c r="A160" s="20" t="n"/>
      <c r="B160" s="21" t="n"/>
      <c r="C160" s="21" t="n"/>
      <c r="D160" s="21" t="n"/>
      <c r="E160" s="21" t="n"/>
      <c r="F160" s="26" t="n"/>
      <c r="G160" s="26" t="n"/>
      <c r="H160" s="26">
        <f>IF(AND(F160="",G160=""),"",N(H159)+N(F160)-N(G160))</f>
        <v/>
      </c>
    </row>
    <row r="161">
      <c r="A161" s="13" t="n"/>
      <c r="B161" s="14" t="n"/>
      <c r="C161" s="14" t="n"/>
      <c r="D161" s="14" t="n"/>
      <c r="E161" s="14" t="n"/>
      <c r="F161" s="19" t="n"/>
      <c r="G161" s="19" t="n"/>
      <c r="H161" s="19">
        <f>IF(AND(F161="",G161=""),"",N(H160)+N(F161)-N(G161))</f>
        <v/>
      </c>
    </row>
    <row r="162">
      <c r="A162" s="20" t="n"/>
      <c r="B162" s="21" t="n"/>
      <c r="C162" s="21" t="n"/>
      <c r="D162" s="21" t="n"/>
      <c r="E162" s="21" t="n"/>
      <c r="F162" s="26" t="n"/>
      <c r="G162" s="26" t="n"/>
      <c r="H162" s="26">
        <f>IF(AND(F162="",G162=""),"",N(H161)+N(F162)-N(G162))</f>
        <v/>
      </c>
    </row>
    <row r="163">
      <c r="A163" s="13" t="n"/>
      <c r="B163" s="14" t="n"/>
      <c r="C163" s="14" t="n"/>
      <c r="D163" s="14" t="n"/>
      <c r="E163" s="14" t="n"/>
      <c r="F163" s="19" t="n"/>
      <c r="G163" s="19" t="n"/>
      <c r="H163" s="19">
        <f>IF(AND(F163="",G163=""),"",N(H162)+N(F163)-N(G163))</f>
        <v/>
      </c>
    </row>
    <row r="164">
      <c r="A164" s="20" t="n"/>
      <c r="B164" s="21" t="n"/>
      <c r="C164" s="21" t="n"/>
      <c r="D164" s="21" t="n"/>
      <c r="E164" s="21" t="n"/>
      <c r="F164" s="26" t="n"/>
      <c r="G164" s="26" t="n"/>
      <c r="H164" s="26">
        <f>IF(AND(F164="",G164=""),"",N(H163)+N(F164)-N(G164))</f>
        <v/>
      </c>
    </row>
    <row r="165">
      <c r="A165" s="13" t="n"/>
      <c r="B165" s="14" t="n"/>
      <c r="C165" s="14" t="n"/>
      <c r="D165" s="14" t="n"/>
      <c r="E165" s="14" t="n"/>
      <c r="F165" s="19" t="n"/>
      <c r="G165" s="19" t="n"/>
      <c r="H165" s="19">
        <f>IF(AND(F165="",G165=""),"",N(H164)+N(F165)-N(G165))</f>
        <v/>
      </c>
    </row>
    <row r="166">
      <c r="A166" s="20" t="n"/>
      <c r="B166" s="21" t="n"/>
      <c r="C166" s="21" t="n"/>
      <c r="D166" s="21" t="n"/>
      <c r="E166" s="21" t="n"/>
      <c r="F166" s="26" t="n"/>
      <c r="G166" s="26" t="n"/>
      <c r="H166" s="26">
        <f>IF(AND(F166="",G166=""),"",N(H165)+N(F166)-N(G166))</f>
        <v/>
      </c>
    </row>
    <row r="167">
      <c r="A167" s="13" t="n"/>
      <c r="B167" s="14" t="n"/>
      <c r="C167" s="14" t="n"/>
      <c r="D167" s="14" t="n"/>
      <c r="E167" s="14" t="n"/>
      <c r="F167" s="19" t="n"/>
      <c r="G167" s="19" t="n"/>
      <c r="H167" s="19">
        <f>IF(AND(F167="",G167=""),"",N(H166)+N(F167)-N(G167))</f>
        <v/>
      </c>
    </row>
    <row r="168">
      <c r="A168" s="20" t="n"/>
      <c r="B168" s="21" t="n"/>
      <c r="C168" s="21" t="n"/>
      <c r="D168" s="21" t="n"/>
      <c r="E168" s="21" t="n"/>
      <c r="F168" s="26" t="n"/>
      <c r="G168" s="26" t="n"/>
      <c r="H168" s="26">
        <f>IF(AND(F168="",G168=""),"",N(H167)+N(F168)-N(G168))</f>
        <v/>
      </c>
    </row>
    <row r="169">
      <c r="A169" s="13" t="n"/>
      <c r="B169" s="14" t="n"/>
      <c r="C169" s="14" t="n"/>
      <c r="D169" s="14" t="n"/>
      <c r="E169" s="14" t="n"/>
      <c r="F169" s="19" t="n"/>
      <c r="G169" s="19" t="n"/>
      <c r="H169" s="19">
        <f>IF(AND(F169="",G169=""),"",N(H168)+N(F169)-N(G169))</f>
        <v/>
      </c>
    </row>
    <row r="170">
      <c r="A170" s="20" t="n"/>
      <c r="B170" s="21" t="n"/>
      <c r="C170" s="21" t="n"/>
      <c r="D170" s="21" t="n"/>
      <c r="E170" s="21" t="n"/>
      <c r="F170" s="26" t="n"/>
      <c r="G170" s="26" t="n"/>
      <c r="H170" s="26">
        <f>IF(AND(F170="",G170=""),"",N(H169)+N(F170)-N(G170))</f>
        <v/>
      </c>
    </row>
    <row r="171">
      <c r="A171" s="13" t="n"/>
      <c r="B171" s="14" t="n"/>
      <c r="C171" s="14" t="n"/>
      <c r="D171" s="14" t="n"/>
      <c r="E171" s="14" t="n"/>
      <c r="F171" s="19" t="n"/>
      <c r="G171" s="19" t="n"/>
      <c r="H171" s="19">
        <f>IF(AND(F171="",G171=""),"",N(H170)+N(F171)-N(G171))</f>
        <v/>
      </c>
    </row>
    <row r="172">
      <c r="A172" s="20" t="n"/>
      <c r="B172" s="21" t="n"/>
      <c r="C172" s="21" t="n"/>
      <c r="D172" s="21" t="n"/>
      <c r="E172" s="21" t="n"/>
      <c r="F172" s="26" t="n"/>
      <c r="G172" s="26" t="n"/>
      <c r="H172" s="26">
        <f>IF(AND(F172="",G172=""),"",N(H171)+N(F172)-N(G172))</f>
        <v/>
      </c>
    </row>
    <row r="173">
      <c r="A173" s="13" t="n"/>
      <c r="B173" s="14" t="n"/>
      <c r="C173" s="14" t="n"/>
      <c r="D173" s="14" t="n"/>
      <c r="E173" s="14" t="n"/>
      <c r="F173" s="19" t="n"/>
      <c r="G173" s="19" t="n"/>
      <c r="H173" s="19">
        <f>IF(AND(F173="",G173=""),"",N(H172)+N(F173)-N(G173))</f>
        <v/>
      </c>
    </row>
    <row r="174">
      <c r="A174" s="20" t="n"/>
      <c r="B174" s="21" t="n"/>
      <c r="C174" s="21" t="n"/>
      <c r="D174" s="21" t="n"/>
      <c r="E174" s="21" t="n"/>
      <c r="F174" s="26" t="n"/>
      <c r="G174" s="26" t="n"/>
      <c r="H174" s="26">
        <f>IF(AND(F174="",G174=""),"",N(H173)+N(F174)-N(G174))</f>
        <v/>
      </c>
    </row>
    <row r="175">
      <c r="A175" s="13" t="n"/>
      <c r="B175" s="14" t="n"/>
      <c r="C175" s="14" t="n"/>
      <c r="D175" s="14" t="n"/>
      <c r="E175" s="14" t="n"/>
      <c r="F175" s="19" t="n"/>
      <c r="G175" s="19" t="n"/>
      <c r="H175" s="19">
        <f>IF(AND(F175="",G175=""),"",N(H174)+N(F175)-N(G175))</f>
        <v/>
      </c>
    </row>
    <row r="176">
      <c r="A176" s="20" t="n"/>
      <c r="B176" s="21" t="n"/>
      <c r="C176" s="21" t="n"/>
      <c r="D176" s="21" t="n"/>
      <c r="E176" s="21" t="n"/>
      <c r="F176" s="26" t="n"/>
      <c r="G176" s="26" t="n"/>
      <c r="H176" s="26">
        <f>IF(AND(F176="",G176=""),"",N(H175)+N(F176)-N(G176))</f>
        <v/>
      </c>
    </row>
    <row r="177">
      <c r="A177" s="13" t="n"/>
      <c r="B177" s="14" t="n"/>
      <c r="C177" s="14" t="n"/>
      <c r="D177" s="14" t="n"/>
      <c r="E177" s="14" t="n"/>
      <c r="F177" s="19" t="n"/>
      <c r="G177" s="19" t="n"/>
      <c r="H177" s="19">
        <f>IF(AND(F177="",G177=""),"",N(H176)+N(F177)-N(G177))</f>
        <v/>
      </c>
    </row>
    <row r="178">
      <c r="A178" s="20" t="n"/>
      <c r="B178" s="21" t="n"/>
      <c r="C178" s="21" t="n"/>
      <c r="D178" s="21" t="n"/>
      <c r="E178" s="21" t="n"/>
      <c r="F178" s="26" t="n"/>
      <c r="G178" s="26" t="n"/>
      <c r="H178" s="26">
        <f>IF(AND(F178="",G178=""),"",N(H177)+N(F178)-N(G178))</f>
        <v/>
      </c>
    </row>
    <row r="179">
      <c r="A179" s="13" t="n"/>
      <c r="B179" s="14" t="n"/>
      <c r="C179" s="14" t="n"/>
      <c r="D179" s="14" t="n"/>
      <c r="E179" s="14" t="n"/>
      <c r="F179" s="19" t="n"/>
      <c r="G179" s="19" t="n"/>
      <c r="H179" s="19">
        <f>IF(AND(F179="",G179=""),"",N(H178)+N(F179)-N(G179))</f>
        <v/>
      </c>
    </row>
    <row r="180">
      <c r="A180" s="20" t="n"/>
      <c r="B180" s="21" t="n"/>
      <c r="C180" s="21" t="n"/>
      <c r="D180" s="21" t="n"/>
      <c r="E180" s="21" t="n"/>
      <c r="F180" s="26" t="n"/>
      <c r="G180" s="26" t="n"/>
      <c r="H180" s="26">
        <f>IF(AND(F180="",G180=""),"",N(H179)+N(F180)-N(G180))</f>
        <v/>
      </c>
    </row>
    <row r="181">
      <c r="A181" s="13" t="n"/>
      <c r="B181" s="14" t="n"/>
      <c r="C181" s="14" t="n"/>
      <c r="D181" s="14" t="n"/>
      <c r="E181" s="14" t="n"/>
      <c r="F181" s="19" t="n"/>
      <c r="G181" s="19" t="n"/>
      <c r="H181" s="19">
        <f>IF(AND(F181="",G181=""),"",N(H180)+N(F181)-N(G181))</f>
        <v/>
      </c>
    </row>
    <row r="182">
      <c r="A182" s="20" t="n"/>
      <c r="B182" s="21" t="n"/>
      <c r="C182" s="21" t="n"/>
      <c r="D182" s="21" t="n"/>
      <c r="E182" s="21" t="n"/>
      <c r="F182" s="26" t="n"/>
      <c r="G182" s="26" t="n"/>
      <c r="H182" s="26">
        <f>IF(AND(F182="",G182=""),"",N(H181)+N(F182)-N(G182))</f>
        <v/>
      </c>
    </row>
    <row r="183">
      <c r="A183" s="13" t="n"/>
      <c r="B183" s="14" t="n"/>
      <c r="C183" s="14" t="n"/>
      <c r="D183" s="14" t="n"/>
      <c r="E183" s="14" t="n"/>
      <c r="F183" s="19" t="n"/>
      <c r="G183" s="19" t="n"/>
      <c r="H183" s="19">
        <f>IF(AND(F183="",G183=""),"",N(H182)+N(F183)-N(G183))</f>
        <v/>
      </c>
    </row>
    <row r="184">
      <c r="A184" s="20" t="n"/>
      <c r="B184" s="21" t="n"/>
      <c r="C184" s="21" t="n"/>
      <c r="D184" s="21" t="n"/>
      <c r="E184" s="21" t="n"/>
      <c r="F184" s="26" t="n"/>
      <c r="G184" s="26" t="n"/>
      <c r="H184" s="26">
        <f>IF(AND(F184="",G184=""),"",N(H183)+N(F184)-N(G184))</f>
        <v/>
      </c>
    </row>
    <row r="185">
      <c r="A185" s="13" t="n"/>
      <c r="B185" s="14" t="n"/>
      <c r="C185" s="14" t="n"/>
      <c r="D185" s="14" t="n"/>
      <c r="E185" s="14" t="n"/>
      <c r="F185" s="19" t="n"/>
      <c r="G185" s="19" t="n"/>
      <c r="H185" s="19">
        <f>IF(AND(F185="",G185=""),"",N(H184)+N(F185)-N(G185))</f>
        <v/>
      </c>
    </row>
    <row r="186">
      <c r="A186" s="20" t="n"/>
      <c r="B186" s="21" t="n"/>
      <c r="C186" s="21" t="n"/>
      <c r="D186" s="21" t="n"/>
      <c r="E186" s="21" t="n"/>
      <c r="F186" s="26" t="n"/>
      <c r="G186" s="26" t="n"/>
      <c r="H186" s="26">
        <f>IF(AND(F186="",G186=""),"",N(H185)+N(F186)-N(G186))</f>
        <v/>
      </c>
    </row>
    <row r="187">
      <c r="A187" s="13" t="n"/>
      <c r="B187" s="14" t="n"/>
      <c r="C187" s="14" t="n"/>
      <c r="D187" s="14" t="n"/>
      <c r="E187" s="14" t="n"/>
      <c r="F187" s="19" t="n"/>
      <c r="G187" s="19" t="n"/>
      <c r="H187" s="19">
        <f>IF(AND(F187="",G187=""),"",N(H186)+N(F187)-N(G187))</f>
        <v/>
      </c>
    </row>
    <row r="188">
      <c r="A188" s="20" t="n"/>
      <c r="B188" s="21" t="n"/>
      <c r="C188" s="21" t="n"/>
      <c r="D188" s="21" t="n"/>
      <c r="E188" s="21" t="n"/>
      <c r="F188" s="26" t="n"/>
      <c r="G188" s="26" t="n"/>
      <c r="H188" s="26">
        <f>IF(AND(F188="",G188=""),"",N(H187)+N(F188)-N(G188))</f>
        <v/>
      </c>
    </row>
    <row r="189">
      <c r="A189" s="13" t="n"/>
      <c r="B189" s="14" t="n"/>
      <c r="C189" s="14" t="n"/>
      <c r="D189" s="14" t="n"/>
      <c r="E189" s="14" t="n"/>
      <c r="F189" s="19" t="n"/>
      <c r="G189" s="19" t="n"/>
      <c r="H189" s="19">
        <f>IF(AND(F189="",G189=""),"",N(H188)+N(F189)-N(G189))</f>
        <v/>
      </c>
    </row>
    <row r="190">
      <c r="A190" s="20" t="n"/>
      <c r="B190" s="21" t="n"/>
      <c r="C190" s="21" t="n"/>
      <c r="D190" s="21" t="n"/>
      <c r="E190" s="21" t="n"/>
      <c r="F190" s="26" t="n"/>
      <c r="G190" s="26" t="n"/>
      <c r="H190" s="26">
        <f>IF(AND(F190="",G190=""),"",N(H189)+N(F190)-N(G190))</f>
        <v/>
      </c>
    </row>
    <row r="191">
      <c r="A191" s="13" t="n"/>
      <c r="B191" s="14" t="n"/>
      <c r="C191" s="14" t="n"/>
      <c r="D191" s="14" t="n"/>
      <c r="E191" s="14" t="n"/>
      <c r="F191" s="19" t="n"/>
      <c r="G191" s="19" t="n"/>
      <c r="H191" s="19">
        <f>IF(AND(F191="",G191=""),"",N(H190)+N(F191)-N(G191))</f>
        <v/>
      </c>
    </row>
    <row r="192">
      <c r="A192" s="20" t="n"/>
      <c r="B192" s="21" t="n"/>
      <c r="C192" s="21" t="n"/>
      <c r="D192" s="21" t="n"/>
      <c r="E192" s="21" t="n"/>
      <c r="F192" s="26" t="n"/>
      <c r="G192" s="26" t="n"/>
      <c r="H192" s="26">
        <f>IF(AND(F192="",G192=""),"",N(H191)+N(F192)-N(G192))</f>
        <v/>
      </c>
    </row>
    <row r="193">
      <c r="A193" s="13" t="n"/>
      <c r="B193" s="14" t="n"/>
      <c r="C193" s="14" t="n"/>
      <c r="D193" s="14" t="n"/>
      <c r="E193" s="14" t="n"/>
      <c r="F193" s="19" t="n"/>
      <c r="G193" s="19" t="n"/>
      <c r="H193" s="19">
        <f>IF(AND(F193="",G193=""),"",N(H192)+N(F193)-N(G193))</f>
        <v/>
      </c>
    </row>
    <row r="194">
      <c r="A194" s="20" t="n"/>
      <c r="B194" s="21" t="n"/>
      <c r="C194" s="21" t="n"/>
      <c r="D194" s="21" t="n"/>
      <c r="E194" s="21" t="n"/>
      <c r="F194" s="26" t="n"/>
      <c r="G194" s="26" t="n"/>
      <c r="H194" s="26">
        <f>IF(AND(F194="",G194=""),"",N(H193)+N(F194)-N(G194))</f>
        <v/>
      </c>
    </row>
    <row r="195">
      <c r="A195" s="13" t="n"/>
      <c r="B195" s="14" t="n"/>
      <c r="C195" s="14" t="n"/>
      <c r="D195" s="14" t="n"/>
      <c r="E195" s="14" t="n"/>
      <c r="F195" s="19" t="n"/>
      <c r="G195" s="19" t="n"/>
      <c r="H195" s="19">
        <f>IF(AND(F195="",G195=""),"",N(H194)+N(F195)-N(G195))</f>
        <v/>
      </c>
    </row>
    <row r="196">
      <c r="A196" s="20" t="n"/>
      <c r="B196" s="21" t="n"/>
      <c r="C196" s="21" t="n"/>
      <c r="D196" s="21" t="n"/>
      <c r="E196" s="21" t="n"/>
      <c r="F196" s="26" t="n"/>
      <c r="G196" s="26" t="n"/>
      <c r="H196" s="26">
        <f>IF(AND(F196="",G196=""),"",N(H195)+N(F196)-N(G196))</f>
        <v/>
      </c>
    </row>
    <row r="197">
      <c r="A197" s="13" t="n"/>
      <c r="B197" s="14" t="n"/>
      <c r="C197" s="14" t="n"/>
      <c r="D197" s="14" t="n"/>
      <c r="E197" s="14" t="n"/>
      <c r="F197" s="19" t="n"/>
      <c r="G197" s="19" t="n"/>
      <c r="H197" s="19">
        <f>IF(AND(F197="",G197=""),"",N(H196)+N(F197)-N(G197))</f>
        <v/>
      </c>
    </row>
    <row r="198">
      <c r="A198" s="20" t="n"/>
      <c r="B198" s="21" t="n"/>
      <c r="C198" s="21" t="n"/>
      <c r="D198" s="21" t="n"/>
      <c r="E198" s="21" t="n"/>
      <c r="F198" s="26" t="n"/>
      <c r="G198" s="26" t="n"/>
      <c r="H198" s="26">
        <f>IF(AND(F198="",G198=""),"",N(H197)+N(F198)-N(G198))</f>
        <v/>
      </c>
    </row>
    <row r="199">
      <c r="A199" s="13" t="n"/>
      <c r="B199" s="14" t="n"/>
      <c r="C199" s="14" t="n"/>
      <c r="D199" s="14" t="n"/>
      <c r="E199" s="14" t="n"/>
      <c r="F199" s="19" t="n"/>
      <c r="G199" s="19" t="n"/>
      <c r="H199" s="19">
        <f>IF(AND(F199="",G199=""),"",N(H198)+N(F199)-N(G199))</f>
        <v/>
      </c>
    </row>
    <row r="200">
      <c r="A200" s="20" t="n"/>
      <c r="B200" s="21" t="n"/>
      <c r="C200" s="21" t="n"/>
      <c r="D200" s="21" t="n"/>
      <c r="E200" s="21" t="n"/>
      <c r="F200" s="26" t="n"/>
      <c r="G200" s="26" t="n"/>
      <c r="H200" s="26">
        <f>IF(AND(F200="",G200=""),"",N(H199)+N(F200)-N(G200))</f>
        <v/>
      </c>
    </row>
    <row r="201">
      <c r="A201" s="13" t="n"/>
      <c r="B201" s="14" t="n"/>
      <c r="C201" s="14" t="n"/>
      <c r="D201" s="14" t="n"/>
      <c r="E201" s="14" t="n"/>
      <c r="F201" s="19" t="n"/>
      <c r="G201" s="19" t="n"/>
      <c r="H201" s="19">
        <f>IF(AND(F201="",G201=""),"",N(H200)+N(F201)-N(G201))</f>
        <v/>
      </c>
    </row>
    <row r="202">
      <c r="A202" s="20" t="n"/>
      <c r="B202" s="21" t="n"/>
      <c r="C202" s="21" t="n"/>
      <c r="D202" s="21" t="n"/>
      <c r="E202" s="21" t="n"/>
      <c r="F202" s="26" t="n"/>
      <c r="G202" s="26" t="n"/>
      <c r="H202" s="26">
        <f>IF(AND(F202="",G202=""),"",N(H201)+N(F202)-N(G202))</f>
        <v/>
      </c>
    </row>
    <row r="203">
      <c r="A203" s="13" t="n"/>
      <c r="B203" s="14" t="n"/>
      <c r="C203" s="14" t="n"/>
      <c r="D203" s="14" t="n"/>
      <c r="E203" s="14" t="n"/>
      <c r="F203" s="19" t="n"/>
      <c r="G203" s="19" t="n"/>
      <c r="H203" s="19">
        <f>IF(AND(F203="",G203=""),"",N(H202)+N(F203)-N(G203))</f>
        <v/>
      </c>
    </row>
    <row r="204">
      <c r="A204" s="20" t="n"/>
      <c r="B204" s="21" t="n"/>
      <c r="C204" s="21" t="n"/>
      <c r="D204" s="21" t="n"/>
      <c r="E204" s="21" t="n"/>
      <c r="F204" s="26" t="n"/>
      <c r="G204" s="26" t="n"/>
      <c r="H204" s="26">
        <f>IF(AND(F204="",G204=""),"",N(H203)+N(F204)-N(G204))</f>
        <v/>
      </c>
    </row>
    <row r="205">
      <c r="A205" s="13" t="n"/>
      <c r="B205" s="14" t="n"/>
      <c r="C205" s="14" t="n"/>
      <c r="D205" s="14" t="n"/>
      <c r="E205" s="14" t="n"/>
      <c r="F205" s="19" t="n"/>
      <c r="G205" s="19" t="n"/>
      <c r="H205" s="19">
        <f>IF(AND(F205="",G205=""),"",N(H204)+N(F205)-N(G205))</f>
        <v/>
      </c>
    </row>
    <row r="206">
      <c r="A206" s="20" t="n"/>
      <c r="B206" s="21" t="n"/>
      <c r="C206" s="21" t="n"/>
      <c r="D206" s="21" t="n"/>
      <c r="E206" s="21" t="n"/>
      <c r="F206" s="26" t="n"/>
      <c r="G206" s="26" t="n"/>
      <c r="H206" s="26">
        <f>IF(AND(F206="",G206=""),"",N(H205)+N(F206)-N(G206))</f>
        <v/>
      </c>
    </row>
    <row r="207">
      <c r="A207" s="13" t="n"/>
      <c r="B207" s="14" t="n"/>
      <c r="C207" s="14" t="n"/>
      <c r="D207" s="14" t="n"/>
      <c r="E207" s="14" t="n"/>
      <c r="F207" s="19" t="n"/>
      <c r="G207" s="19" t="n"/>
      <c r="H207" s="19">
        <f>IF(AND(F207="",G207=""),"",N(H206)+N(F207)-N(G207))</f>
        <v/>
      </c>
    </row>
    <row r="208">
      <c r="A208" s="20" t="n"/>
      <c r="B208" s="21" t="n"/>
      <c r="C208" s="21" t="n"/>
      <c r="D208" s="21" t="n"/>
      <c r="E208" s="21" t="n"/>
      <c r="F208" s="26" t="n"/>
      <c r="G208" s="26" t="n"/>
      <c r="H208" s="26">
        <f>IF(AND(F208="",G208=""),"",N(H207)+N(F208)-N(G208))</f>
        <v/>
      </c>
    </row>
    <row r="209">
      <c r="A209" s="13" t="n"/>
      <c r="B209" s="14" t="n"/>
      <c r="C209" s="14" t="n"/>
      <c r="D209" s="14" t="n"/>
      <c r="E209" s="14" t="n"/>
      <c r="F209" s="19" t="n"/>
      <c r="G209" s="19" t="n"/>
      <c r="H209" s="19">
        <f>IF(AND(F209="",G209=""),"",N(H208)+N(F209)-N(G209))</f>
        <v/>
      </c>
    </row>
    <row r="210">
      <c r="A210" s="20" t="n"/>
      <c r="B210" s="21" t="n"/>
      <c r="C210" s="21" t="n"/>
      <c r="D210" s="21" t="n"/>
      <c r="E210" s="21" t="n"/>
      <c r="F210" s="26" t="n"/>
      <c r="G210" s="26" t="n"/>
      <c r="H210" s="26">
        <f>IF(AND(F210="",G210=""),"",N(H209)+N(F210)-N(G210))</f>
        <v/>
      </c>
    </row>
    <row r="211">
      <c r="A211" s="13" t="n"/>
      <c r="B211" s="14" t="n"/>
      <c r="C211" s="14" t="n"/>
      <c r="D211" s="14" t="n"/>
      <c r="E211" s="14" t="n"/>
      <c r="F211" s="19" t="n"/>
      <c r="G211" s="19" t="n"/>
      <c r="H211" s="19">
        <f>IF(AND(F211="",G211=""),"",N(H210)+N(F211)-N(G211))</f>
        <v/>
      </c>
    </row>
    <row r="212">
      <c r="A212" s="20" t="n"/>
      <c r="B212" s="21" t="n"/>
      <c r="C212" s="21" t="n"/>
      <c r="D212" s="21" t="n"/>
      <c r="E212" s="21" t="n"/>
      <c r="F212" s="26" t="n"/>
      <c r="G212" s="26" t="n"/>
      <c r="H212" s="26">
        <f>IF(AND(F212="",G212=""),"",N(H211)+N(F212)-N(G212))</f>
        <v/>
      </c>
    </row>
    <row r="213">
      <c r="A213" s="13" t="n"/>
      <c r="B213" s="14" t="n"/>
      <c r="C213" s="14" t="n"/>
      <c r="D213" s="14" t="n"/>
      <c r="E213" s="14" t="n"/>
      <c r="F213" s="19" t="n"/>
      <c r="G213" s="19" t="n"/>
      <c r="H213" s="19">
        <f>IF(AND(F213="",G213=""),"",N(H212)+N(F213)-N(G213))</f>
        <v/>
      </c>
    </row>
    <row r="214">
      <c r="A214" s="20" t="n"/>
      <c r="B214" s="21" t="n"/>
      <c r="C214" s="21" t="n"/>
      <c r="D214" s="21" t="n"/>
      <c r="E214" s="21" t="n"/>
      <c r="F214" s="26" t="n"/>
      <c r="G214" s="26" t="n"/>
      <c r="H214" s="26">
        <f>IF(AND(F214="",G214=""),"",N(H213)+N(F214)-N(G214))</f>
        <v/>
      </c>
    </row>
    <row r="215">
      <c r="A215" s="13" t="n"/>
      <c r="B215" s="14" t="n"/>
      <c r="C215" s="14" t="n"/>
      <c r="D215" s="14" t="n"/>
      <c r="E215" s="14" t="n"/>
      <c r="F215" s="19" t="n"/>
      <c r="G215" s="19" t="n"/>
      <c r="H215" s="19">
        <f>IF(AND(F215="",G215=""),"",N(H214)+N(F215)-N(G215))</f>
        <v/>
      </c>
    </row>
    <row r="216">
      <c r="A216" s="20" t="n"/>
      <c r="B216" s="21" t="n"/>
      <c r="C216" s="21" t="n"/>
      <c r="D216" s="21" t="n"/>
      <c r="E216" s="21" t="n"/>
      <c r="F216" s="26" t="n"/>
      <c r="G216" s="26" t="n"/>
      <c r="H216" s="26">
        <f>IF(AND(F216="",G216=""),"",N(H215)+N(F216)-N(G216))</f>
        <v/>
      </c>
    </row>
    <row r="217">
      <c r="A217" s="13" t="n"/>
      <c r="B217" s="14" t="n"/>
      <c r="C217" s="14" t="n"/>
      <c r="D217" s="14" t="n"/>
      <c r="E217" s="14" t="n"/>
      <c r="F217" s="19" t="n"/>
      <c r="G217" s="19" t="n"/>
      <c r="H217" s="19">
        <f>IF(AND(F217="",G217=""),"",N(H216)+N(F217)-N(G217))</f>
        <v/>
      </c>
    </row>
    <row r="218">
      <c r="A218" s="20" t="n"/>
      <c r="B218" s="21" t="n"/>
      <c r="C218" s="21" t="n"/>
      <c r="D218" s="21" t="n"/>
      <c r="E218" s="21" t="n"/>
      <c r="F218" s="26" t="n"/>
      <c r="G218" s="26" t="n"/>
      <c r="H218" s="26">
        <f>IF(AND(F218="",G218=""),"",N(H217)+N(F218)-N(G218))</f>
        <v/>
      </c>
    </row>
    <row r="219">
      <c r="A219" s="13" t="n"/>
      <c r="B219" s="14" t="n"/>
      <c r="C219" s="14" t="n"/>
      <c r="D219" s="14" t="n"/>
      <c r="E219" s="14" t="n"/>
      <c r="F219" s="19" t="n"/>
      <c r="G219" s="19" t="n"/>
      <c r="H219" s="19">
        <f>IF(AND(F219="",G219=""),"",N(H218)+N(F219)-N(G219))</f>
        <v/>
      </c>
    </row>
    <row r="220">
      <c r="A220" s="20" t="n"/>
      <c r="B220" s="21" t="n"/>
      <c r="C220" s="21" t="n"/>
      <c r="D220" s="21" t="n"/>
      <c r="E220" s="21" t="n"/>
      <c r="F220" s="26" t="n"/>
      <c r="G220" s="26" t="n"/>
      <c r="H220" s="26">
        <f>IF(AND(F220="",G220=""),"",N(H219)+N(F220)-N(G220))</f>
        <v/>
      </c>
    </row>
    <row r="221">
      <c r="A221" s="13" t="n"/>
      <c r="B221" s="14" t="n"/>
      <c r="C221" s="14" t="n"/>
      <c r="D221" s="14" t="n"/>
      <c r="E221" s="14" t="n"/>
      <c r="F221" s="19" t="n"/>
      <c r="G221" s="19" t="n"/>
      <c r="H221" s="19">
        <f>IF(AND(F221="",G221=""),"",N(H220)+N(F221)-N(G221))</f>
        <v/>
      </c>
    </row>
    <row r="222">
      <c r="A222" s="20" t="n"/>
      <c r="B222" s="21" t="n"/>
      <c r="C222" s="21" t="n"/>
      <c r="D222" s="21" t="n"/>
      <c r="E222" s="21" t="n"/>
      <c r="F222" s="26" t="n"/>
      <c r="G222" s="26" t="n"/>
      <c r="H222" s="26">
        <f>IF(AND(F222="",G222=""),"",N(H221)+N(F222)-N(G222))</f>
        <v/>
      </c>
    </row>
    <row r="223">
      <c r="A223" s="13" t="n"/>
      <c r="B223" s="14" t="n"/>
      <c r="C223" s="14" t="n"/>
      <c r="D223" s="14" t="n"/>
      <c r="E223" s="14" t="n"/>
      <c r="F223" s="19" t="n"/>
      <c r="G223" s="19" t="n"/>
      <c r="H223" s="19">
        <f>IF(AND(F223="",G223=""),"",N(H222)+N(F223)-N(G223))</f>
        <v/>
      </c>
    </row>
    <row r="224">
      <c r="A224" s="20" t="n"/>
      <c r="B224" s="21" t="n"/>
      <c r="C224" s="21" t="n"/>
      <c r="D224" s="21" t="n"/>
      <c r="E224" s="21" t="n"/>
      <c r="F224" s="26" t="n"/>
      <c r="G224" s="26" t="n"/>
      <c r="H224" s="26">
        <f>IF(AND(F224="",G224=""),"",N(H223)+N(F224)-N(G224))</f>
        <v/>
      </c>
    </row>
    <row r="225">
      <c r="A225" s="13" t="n"/>
      <c r="B225" s="14" t="n"/>
      <c r="C225" s="14" t="n"/>
      <c r="D225" s="14" t="n"/>
      <c r="E225" s="14" t="n"/>
      <c r="F225" s="19" t="n"/>
      <c r="G225" s="19" t="n"/>
      <c r="H225" s="19">
        <f>IF(AND(F225="",G225=""),"",N(H224)+N(F225)-N(G225))</f>
        <v/>
      </c>
    </row>
    <row r="226">
      <c r="A226" s="20" t="n"/>
      <c r="B226" s="21" t="n"/>
      <c r="C226" s="21" t="n"/>
      <c r="D226" s="21" t="n"/>
      <c r="E226" s="21" t="n"/>
      <c r="F226" s="26" t="n"/>
      <c r="G226" s="26" t="n"/>
      <c r="H226" s="26">
        <f>IF(AND(F226="",G226=""),"",N(H225)+N(F226)-N(G226))</f>
        <v/>
      </c>
    </row>
    <row r="227">
      <c r="A227" s="13" t="n"/>
      <c r="B227" s="14" t="n"/>
      <c r="C227" s="14" t="n"/>
      <c r="D227" s="14" t="n"/>
      <c r="E227" s="14" t="n"/>
      <c r="F227" s="19" t="n"/>
      <c r="G227" s="19" t="n"/>
      <c r="H227" s="19">
        <f>IF(AND(F227="",G227=""),"",N(H226)+N(F227)-N(G227))</f>
        <v/>
      </c>
    </row>
    <row r="228">
      <c r="A228" s="20" t="n"/>
      <c r="B228" s="21" t="n"/>
      <c r="C228" s="21" t="n"/>
      <c r="D228" s="21" t="n"/>
      <c r="E228" s="21" t="n"/>
      <c r="F228" s="26" t="n"/>
      <c r="G228" s="26" t="n"/>
      <c r="H228" s="26">
        <f>IF(AND(F228="",G228=""),"",N(H227)+N(F228)-N(G228))</f>
        <v/>
      </c>
    </row>
    <row r="229">
      <c r="A229" s="13" t="n"/>
      <c r="B229" s="14" t="n"/>
      <c r="C229" s="14" t="n"/>
      <c r="D229" s="14" t="n"/>
      <c r="E229" s="14" t="n"/>
      <c r="F229" s="19" t="n"/>
      <c r="G229" s="19" t="n"/>
      <c r="H229" s="19">
        <f>IF(AND(F229="",G229=""),"",N(H228)+N(F229)-N(G229))</f>
        <v/>
      </c>
    </row>
    <row r="230">
      <c r="A230" s="20" t="n"/>
      <c r="B230" s="21" t="n"/>
      <c r="C230" s="21" t="n"/>
      <c r="D230" s="21" t="n"/>
      <c r="E230" s="21" t="n"/>
      <c r="F230" s="26" t="n"/>
      <c r="G230" s="26" t="n"/>
      <c r="H230" s="26">
        <f>IF(AND(F230="",G230=""),"",N(H229)+N(F230)-N(G230))</f>
        <v/>
      </c>
    </row>
    <row r="231">
      <c r="A231" s="13" t="n"/>
      <c r="B231" s="14" t="n"/>
      <c r="C231" s="14" t="n"/>
      <c r="D231" s="14" t="n"/>
      <c r="E231" s="14" t="n"/>
      <c r="F231" s="19" t="n"/>
      <c r="G231" s="19" t="n"/>
      <c r="H231" s="19">
        <f>IF(AND(F231="",G231=""),"",N(H230)+N(F231)-N(G231))</f>
        <v/>
      </c>
    </row>
    <row r="232">
      <c r="A232" s="20" t="n"/>
      <c r="B232" s="21" t="n"/>
      <c r="C232" s="21" t="n"/>
      <c r="D232" s="21" t="n"/>
      <c r="E232" s="21" t="n"/>
      <c r="F232" s="26" t="n"/>
      <c r="G232" s="26" t="n"/>
      <c r="H232" s="26">
        <f>IF(AND(F232="",G232=""),"",N(H231)+N(F232)-N(G232))</f>
        <v/>
      </c>
    </row>
    <row r="233">
      <c r="A233" s="13" t="n"/>
      <c r="B233" s="14" t="n"/>
      <c r="C233" s="14" t="n"/>
      <c r="D233" s="14" t="n"/>
      <c r="E233" s="14" t="n"/>
      <c r="F233" s="19" t="n"/>
      <c r="G233" s="19" t="n"/>
      <c r="H233" s="19">
        <f>IF(AND(F233="",G233=""),"",N(H232)+N(F233)-N(G233))</f>
        <v/>
      </c>
    </row>
    <row r="234">
      <c r="A234" s="20" t="n"/>
      <c r="B234" s="21" t="n"/>
      <c r="C234" s="21" t="n"/>
      <c r="D234" s="21" t="n"/>
      <c r="E234" s="21" t="n"/>
      <c r="F234" s="26" t="n"/>
      <c r="G234" s="26" t="n"/>
      <c r="H234" s="26">
        <f>IF(AND(F234="",G234=""),"",N(H233)+N(F234)-N(G234))</f>
        <v/>
      </c>
    </row>
    <row r="235">
      <c r="A235" s="13" t="n"/>
      <c r="B235" s="14" t="n"/>
      <c r="C235" s="14" t="n"/>
      <c r="D235" s="14" t="n"/>
      <c r="E235" s="14" t="n"/>
      <c r="F235" s="19" t="n"/>
      <c r="G235" s="19" t="n"/>
      <c r="H235" s="19">
        <f>IF(AND(F235="",G235=""),"",N(H234)+N(F235)-N(G235))</f>
        <v/>
      </c>
    </row>
    <row r="236">
      <c r="A236" s="20" t="n"/>
      <c r="B236" s="21" t="n"/>
      <c r="C236" s="21" t="n"/>
      <c r="D236" s="21" t="n"/>
      <c r="E236" s="21" t="n"/>
      <c r="F236" s="26" t="n"/>
      <c r="G236" s="26" t="n"/>
      <c r="H236" s="26">
        <f>IF(AND(F236="",G236=""),"",N(H235)+N(F236)-N(G236))</f>
        <v/>
      </c>
    </row>
    <row r="237">
      <c r="A237" s="13" t="n"/>
      <c r="B237" s="14" t="n"/>
      <c r="C237" s="14" t="n"/>
      <c r="D237" s="14" t="n"/>
      <c r="E237" s="14" t="n"/>
      <c r="F237" s="19" t="n"/>
      <c r="G237" s="19" t="n"/>
      <c r="H237" s="19">
        <f>IF(AND(F237="",G237=""),"",N(H236)+N(F237)-N(G237))</f>
        <v/>
      </c>
    </row>
    <row r="238">
      <c r="A238" s="20" t="n"/>
      <c r="B238" s="21" t="n"/>
      <c r="C238" s="21" t="n"/>
      <c r="D238" s="21" t="n"/>
      <c r="E238" s="21" t="n"/>
      <c r="F238" s="26" t="n"/>
      <c r="G238" s="26" t="n"/>
      <c r="H238" s="26">
        <f>IF(AND(F238="",G238=""),"",N(H237)+N(F238)-N(G238))</f>
        <v/>
      </c>
    </row>
    <row r="239">
      <c r="A239" s="13" t="n"/>
      <c r="B239" s="14" t="n"/>
      <c r="C239" s="14" t="n"/>
      <c r="D239" s="14" t="n"/>
      <c r="E239" s="14" t="n"/>
      <c r="F239" s="19" t="n"/>
      <c r="G239" s="19" t="n"/>
      <c r="H239" s="19">
        <f>IF(AND(F239="",G239=""),"",N(H238)+N(F239)-N(G239))</f>
        <v/>
      </c>
    </row>
    <row r="240">
      <c r="A240" s="20" t="n"/>
      <c r="B240" s="21" t="n"/>
      <c r="C240" s="21" t="n"/>
      <c r="D240" s="21" t="n"/>
      <c r="E240" s="21" t="n"/>
      <c r="F240" s="26" t="n"/>
      <c r="G240" s="26" t="n"/>
      <c r="H240" s="26">
        <f>IF(AND(F240="",G240=""),"",N(H239)+N(F240)-N(G240))</f>
        <v/>
      </c>
    </row>
    <row r="241">
      <c r="A241" s="13" t="n"/>
      <c r="B241" s="14" t="n"/>
      <c r="C241" s="14" t="n"/>
      <c r="D241" s="14" t="n"/>
      <c r="E241" s="14" t="n"/>
      <c r="F241" s="19" t="n"/>
      <c r="G241" s="19" t="n"/>
      <c r="H241" s="19">
        <f>IF(AND(F241="",G241=""),"",N(H240)+N(F241)-N(G241))</f>
        <v/>
      </c>
    </row>
    <row r="242">
      <c r="A242" s="20" t="n"/>
      <c r="B242" s="21" t="n"/>
      <c r="C242" s="21" t="n"/>
      <c r="D242" s="21" t="n"/>
      <c r="E242" s="21" t="n"/>
      <c r="F242" s="26" t="n"/>
      <c r="G242" s="26" t="n"/>
      <c r="H242" s="26">
        <f>IF(AND(F242="",G242=""),"",N(H241)+N(F242)-N(G242))</f>
        <v/>
      </c>
    </row>
    <row r="243">
      <c r="A243" s="13" t="n"/>
      <c r="B243" s="14" t="n"/>
      <c r="C243" s="14" t="n"/>
      <c r="D243" s="14" t="n"/>
      <c r="E243" s="14" t="n"/>
      <c r="F243" s="19" t="n"/>
      <c r="G243" s="19" t="n"/>
      <c r="H243" s="19">
        <f>IF(AND(F243="",G243=""),"",N(H242)+N(F243)-N(G243))</f>
        <v/>
      </c>
    </row>
    <row r="244">
      <c r="A244" s="20" t="n"/>
      <c r="B244" s="21" t="n"/>
      <c r="C244" s="21" t="n"/>
      <c r="D244" s="21" t="n"/>
      <c r="E244" s="21" t="n"/>
      <c r="F244" s="26" t="n"/>
      <c r="G244" s="26" t="n"/>
      <c r="H244" s="26">
        <f>IF(AND(F244="",G244=""),"",N(H243)+N(F244)-N(G244))</f>
        <v/>
      </c>
    </row>
    <row r="245">
      <c r="A245" s="13" t="n"/>
      <c r="B245" s="14" t="n"/>
      <c r="C245" s="14" t="n"/>
      <c r="D245" s="14" t="n"/>
      <c r="E245" s="14" t="n"/>
      <c r="F245" s="19" t="n"/>
      <c r="G245" s="19" t="n"/>
      <c r="H245" s="19">
        <f>IF(AND(F245="",G245=""),"",N(H244)+N(F245)-N(G245))</f>
        <v/>
      </c>
    </row>
    <row r="246">
      <c r="A246" s="20" t="n"/>
      <c r="B246" s="21" t="n"/>
      <c r="C246" s="21" t="n"/>
      <c r="D246" s="21" t="n"/>
      <c r="E246" s="21" t="n"/>
      <c r="F246" s="26" t="n"/>
      <c r="G246" s="26" t="n"/>
      <c r="H246" s="26">
        <f>IF(AND(F246="",G246=""),"",N(H245)+N(F246)-N(G246))</f>
        <v/>
      </c>
    </row>
    <row r="247">
      <c r="A247" s="13" t="n"/>
      <c r="B247" s="14" t="n"/>
      <c r="C247" s="14" t="n"/>
      <c r="D247" s="14" t="n"/>
      <c r="E247" s="14" t="n"/>
      <c r="F247" s="19" t="n"/>
      <c r="G247" s="19" t="n"/>
      <c r="H247" s="19">
        <f>IF(AND(F247="",G247=""),"",N(H246)+N(F247)-N(G247))</f>
        <v/>
      </c>
    </row>
    <row r="248">
      <c r="A248" s="20" t="n"/>
      <c r="B248" s="21" t="n"/>
      <c r="C248" s="21" t="n"/>
      <c r="D248" s="21" t="n"/>
      <c r="E248" s="21" t="n"/>
      <c r="F248" s="26" t="n"/>
      <c r="G248" s="26" t="n"/>
      <c r="H248" s="26">
        <f>IF(AND(F248="",G248=""),"",N(H247)+N(F248)-N(G248))</f>
        <v/>
      </c>
    </row>
    <row r="249">
      <c r="A249" s="13" t="n"/>
      <c r="B249" s="14" t="n"/>
      <c r="C249" s="14" t="n"/>
      <c r="D249" s="14" t="n"/>
      <c r="E249" s="14" t="n"/>
      <c r="F249" s="19" t="n"/>
      <c r="G249" s="19" t="n"/>
      <c r="H249" s="19">
        <f>IF(AND(F249="",G249=""),"",N(H248)+N(F249)-N(G249))</f>
        <v/>
      </c>
    </row>
    <row r="250">
      <c r="A250" s="20" t="n"/>
      <c r="B250" s="21" t="n"/>
      <c r="C250" s="21" t="n"/>
      <c r="D250" s="21" t="n"/>
      <c r="E250" s="21" t="n"/>
      <c r="F250" s="26" t="n"/>
      <c r="G250" s="26" t="n"/>
      <c r="H250" s="26">
        <f>IF(AND(F250="",G250=""),"",N(H249)+N(F250)-N(G250))</f>
        <v/>
      </c>
    </row>
    <row r="251">
      <c r="A251" s="13" t="n"/>
      <c r="B251" s="14" t="n"/>
      <c r="C251" s="14" t="n"/>
      <c r="D251" s="14" t="n"/>
      <c r="E251" s="14" t="n"/>
      <c r="F251" s="19" t="n"/>
      <c r="G251" s="19" t="n"/>
      <c r="H251" s="19">
        <f>IF(AND(F251="",G251=""),"",N(H250)+N(F251)-N(G251))</f>
        <v/>
      </c>
    </row>
    <row r="252">
      <c r="A252" s="20" t="n"/>
      <c r="B252" s="21" t="n"/>
      <c r="C252" s="21" t="n"/>
      <c r="D252" s="21" t="n"/>
      <c r="E252" s="21" t="n"/>
      <c r="F252" s="26" t="n"/>
      <c r="G252" s="26" t="n"/>
      <c r="H252" s="26">
        <f>IF(AND(F252="",G252=""),"",N(H251)+N(F252)-N(G252))</f>
        <v/>
      </c>
    </row>
    <row r="253">
      <c r="A253" s="13" t="n"/>
      <c r="B253" s="14" t="n"/>
      <c r="C253" s="14" t="n"/>
      <c r="D253" s="14" t="n"/>
      <c r="E253" s="14" t="n"/>
      <c r="F253" s="19" t="n"/>
      <c r="G253" s="19" t="n"/>
      <c r="H253" s="19">
        <f>IF(AND(F253="",G253=""),"",N(H252)+N(F253)-N(G253))</f>
        <v/>
      </c>
    </row>
    <row r="254">
      <c r="A254" s="20" t="n"/>
      <c r="B254" s="21" t="n"/>
      <c r="C254" s="21" t="n"/>
      <c r="D254" s="21" t="n"/>
      <c r="E254" s="21" t="n"/>
      <c r="F254" s="26" t="n"/>
      <c r="G254" s="26" t="n"/>
      <c r="H254" s="26">
        <f>IF(AND(F254="",G254=""),"",N(H253)+N(F254)-N(G254))</f>
        <v/>
      </c>
    </row>
    <row r="255">
      <c r="A255" s="13" t="n"/>
      <c r="B255" s="14" t="n"/>
      <c r="C255" s="14" t="n"/>
      <c r="D255" s="14" t="n"/>
      <c r="E255" s="14" t="n"/>
      <c r="F255" s="19" t="n"/>
      <c r="G255" s="19" t="n"/>
      <c r="H255" s="19">
        <f>IF(AND(F255="",G255=""),"",N(H254)+N(F255)-N(G255))</f>
        <v/>
      </c>
    </row>
    <row r="256">
      <c r="A256" s="20" t="n"/>
      <c r="B256" s="21" t="n"/>
      <c r="C256" s="21" t="n"/>
      <c r="D256" s="21" t="n"/>
      <c r="E256" s="21" t="n"/>
      <c r="F256" s="26" t="n"/>
      <c r="G256" s="26" t="n"/>
      <c r="H256" s="26">
        <f>IF(AND(F256="",G256=""),"",N(H255)+N(F256)-N(G256))</f>
        <v/>
      </c>
    </row>
    <row r="257">
      <c r="A257" s="13" t="n"/>
      <c r="B257" s="14" t="n"/>
      <c r="C257" s="14" t="n"/>
      <c r="D257" s="14" t="n"/>
      <c r="E257" s="14" t="n"/>
      <c r="F257" s="19" t="n"/>
      <c r="G257" s="19" t="n"/>
      <c r="H257" s="19">
        <f>IF(AND(F257="",G257=""),"",N(H256)+N(F257)-N(G257))</f>
        <v/>
      </c>
    </row>
    <row r="258">
      <c r="A258" s="20" t="n"/>
      <c r="B258" s="21" t="n"/>
      <c r="C258" s="21" t="n"/>
      <c r="D258" s="21" t="n"/>
      <c r="E258" s="21" t="n"/>
      <c r="F258" s="26" t="n"/>
      <c r="G258" s="26" t="n"/>
      <c r="H258" s="26">
        <f>IF(AND(F258="",G258=""),"",N(H257)+N(F258)-N(G258))</f>
        <v/>
      </c>
    </row>
    <row r="259">
      <c r="A259" s="13" t="n"/>
      <c r="B259" s="14" t="n"/>
      <c r="C259" s="14" t="n"/>
      <c r="D259" s="14" t="n"/>
      <c r="E259" s="14" t="n"/>
      <c r="F259" s="19" t="n"/>
      <c r="G259" s="19" t="n"/>
      <c r="H259" s="19">
        <f>IF(AND(F259="",G259=""),"",N(H258)+N(F259)-N(G259))</f>
        <v/>
      </c>
    </row>
    <row r="260">
      <c r="A260" s="20" t="n"/>
      <c r="B260" s="21" t="n"/>
      <c r="C260" s="21" t="n"/>
      <c r="D260" s="21" t="n"/>
      <c r="E260" s="21" t="n"/>
      <c r="F260" s="26" t="n"/>
      <c r="G260" s="26" t="n"/>
      <c r="H260" s="26">
        <f>IF(AND(F260="",G260=""),"",N(H259)+N(F260)-N(G260))</f>
        <v/>
      </c>
    </row>
    <row r="261">
      <c r="A261" s="13" t="n"/>
      <c r="B261" s="14" t="n"/>
      <c r="C261" s="14" t="n"/>
      <c r="D261" s="14" t="n"/>
      <c r="E261" s="14" t="n"/>
      <c r="F261" s="19" t="n"/>
      <c r="G261" s="19" t="n"/>
      <c r="H261" s="19">
        <f>IF(AND(F261="",G261=""),"",N(H260)+N(F261)-N(G261))</f>
        <v/>
      </c>
    </row>
    <row r="262">
      <c r="A262" s="20" t="n"/>
      <c r="B262" s="21" t="n"/>
      <c r="C262" s="21" t="n"/>
      <c r="D262" s="21" t="n"/>
      <c r="E262" s="21" t="n"/>
      <c r="F262" s="26" t="n"/>
      <c r="G262" s="26" t="n"/>
      <c r="H262" s="26">
        <f>IF(AND(F262="",G262=""),"",N(H261)+N(F262)-N(G262))</f>
        <v/>
      </c>
    </row>
    <row r="263">
      <c r="A263" s="13" t="n"/>
      <c r="B263" s="14" t="n"/>
      <c r="C263" s="14" t="n"/>
      <c r="D263" s="14" t="n"/>
      <c r="E263" s="14" t="n"/>
      <c r="F263" s="19" t="n"/>
      <c r="G263" s="19" t="n"/>
      <c r="H263" s="19">
        <f>IF(AND(F263="",G263=""),"",N(H262)+N(F263)-N(G263))</f>
        <v/>
      </c>
    </row>
    <row r="264">
      <c r="A264" s="20" t="n"/>
      <c r="B264" s="21" t="n"/>
      <c r="C264" s="21" t="n"/>
      <c r="D264" s="21" t="n"/>
      <c r="E264" s="21" t="n"/>
      <c r="F264" s="26" t="n"/>
      <c r="G264" s="26" t="n"/>
      <c r="H264" s="26">
        <f>IF(AND(F264="",G264=""),"",N(H263)+N(F264)-N(G264))</f>
        <v/>
      </c>
    </row>
    <row r="265">
      <c r="A265" s="13" t="n"/>
      <c r="B265" s="14" t="n"/>
      <c r="C265" s="14" t="n"/>
      <c r="D265" s="14" t="n"/>
      <c r="E265" s="14" t="n"/>
      <c r="F265" s="19" t="n"/>
      <c r="G265" s="19" t="n"/>
      <c r="H265" s="19">
        <f>IF(AND(F265="",G265=""),"",N(H264)+N(F265)-N(G265))</f>
        <v/>
      </c>
    </row>
    <row r="266">
      <c r="A266" s="20" t="n"/>
      <c r="B266" s="21" t="n"/>
      <c r="C266" s="21" t="n"/>
      <c r="D266" s="21" t="n"/>
      <c r="E266" s="21" t="n"/>
      <c r="F266" s="26" t="n"/>
      <c r="G266" s="26" t="n"/>
      <c r="H266" s="26">
        <f>IF(AND(F266="",G266=""),"",N(H265)+N(F266)-N(G266))</f>
        <v/>
      </c>
    </row>
    <row r="267">
      <c r="A267" s="13" t="n"/>
      <c r="B267" s="14" t="n"/>
      <c r="C267" s="14" t="n"/>
      <c r="D267" s="14" t="n"/>
      <c r="E267" s="14" t="n"/>
      <c r="F267" s="19" t="n"/>
      <c r="G267" s="19" t="n"/>
      <c r="H267" s="19">
        <f>IF(AND(F267="",G267=""),"",N(H266)+N(F267)-N(G267))</f>
        <v/>
      </c>
    </row>
    <row r="268">
      <c r="A268" s="20" t="n"/>
      <c r="B268" s="21" t="n"/>
      <c r="C268" s="21" t="n"/>
      <c r="D268" s="21" t="n"/>
      <c r="E268" s="21" t="n"/>
      <c r="F268" s="26" t="n"/>
      <c r="G268" s="26" t="n"/>
      <c r="H268" s="26">
        <f>IF(AND(F268="",G268=""),"",N(H267)+N(F268)-N(G268))</f>
        <v/>
      </c>
    </row>
    <row r="269">
      <c r="A269" s="13" t="n"/>
      <c r="B269" s="14" t="n"/>
      <c r="C269" s="14" t="n"/>
      <c r="D269" s="14" t="n"/>
      <c r="E269" s="14" t="n"/>
      <c r="F269" s="19" t="n"/>
      <c r="G269" s="19" t="n"/>
      <c r="H269" s="19">
        <f>IF(AND(F269="",G269=""),"",N(H268)+N(F269)-N(G269))</f>
        <v/>
      </c>
    </row>
    <row r="270">
      <c r="A270" s="20" t="n"/>
      <c r="B270" s="21" t="n"/>
      <c r="C270" s="21" t="n"/>
      <c r="D270" s="21" t="n"/>
      <c r="E270" s="21" t="n"/>
      <c r="F270" s="26" t="n"/>
      <c r="G270" s="26" t="n"/>
      <c r="H270" s="26">
        <f>IF(AND(F270="",G270=""),"",N(H269)+N(F270)-N(G270))</f>
        <v/>
      </c>
    </row>
    <row r="271">
      <c r="A271" s="13" t="n"/>
      <c r="B271" s="14" t="n"/>
      <c r="C271" s="14" t="n"/>
      <c r="D271" s="14" t="n"/>
      <c r="E271" s="14" t="n"/>
      <c r="F271" s="19" t="n"/>
      <c r="G271" s="19" t="n"/>
      <c r="H271" s="19">
        <f>IF(AND(F271="",G271=""),"",N(H270)+N(F271)-N(G271))</f>
        <v/>
      </c>
    </row>
    <row r="272">
      <c r="A272" s="20" t="n"/>
      <c r="B272" s="21" t="n"/>
      <c r="C272" s="21" t="n"/>
      <c r="D272" s="21" t="n"/>
      <c r="E272" s="21" t="n"/>
      <c r="F272" s="26" t="n"/>
      <c r="G272" s="26" t="n"/>
      <c r="H272" s="26">
        <f>IF(AND(F272="",G272=""),"",N(H271)+N(F272)-N(G272))</f>
        <v/>
      </c>
    </row>
    <row r="273">
      <c r="A273" s="13" t="n"/>
      <c r="B273" s="14" t="n"/>
      <c r="C273" s="14" t="n"/>
      <c r="D273" s="14" t="n"/>
      <c r="E273" s="14" t="n"/>
      <c r="F273" s="19" t="n"/>
      <c r="G273" s="19" t="n"/>
      <c r="H273" s="19">
        <f>IF(AND(F273="",G273=""),"",N(H272)+N(F273)-N(G273))</f>
        <v/>
      </c>
    </row>
    <row r="274">
      <c r="A274" s="20" t="n"/>
      <c r="B274" s="21" t="n"/>
      <c r="C274" s="21" t="n"/>
      <c r="D274" s="21" t="n"/>
      <c r="E274" s="21" t="n"/>
      <c r="F274" s="26" t="n"/>
      <c r="G274" s="26" t="n"/>
      <c r="H274" s="26">
        <f>IF(AND(F274="",G274=""),"",N(H273)+N(F274)-N(G274))</f>
        <v/>
      </c>
    </row>
    <row r="275">
      <c r="A275" s="13" t="n"/>
      <c r="B275" s="14" t="n"/>
      <c r="C275" s="14" t="n"/>
      <c r="D275" s="14" t="n"/>
      <c r="E275" s="14" t="n"/>
      <c r="F275" s="19" t="n"/>
      <c r="G275" s="19" t="n"/>
      <c r="H275" s="19">
        <f>IF(AND(F275="",G275=""),"",N(H274)+N(F275)-N(G275))</f>
        <v/>
      </c>
    </row>
    <row r="276">
      <c r="A276" s="20" t="n"/>
      <c r="B276" s="21" t="n"/>
      <c r="C276" s="21" t="n"/>
      <c r="D276" s="21" t="n"/>
      <c r="E276" s="21" t="n"/>
      <c r="F276" s="26" t="n"/>
      <c r="G276" s="26" t="n"/>
      <c r="H276" s="26">
        <f>IF(AND(F276="",G276=""),"",N(H275)+N(F276)-N(G276))</f>
        <v/>
      </c>
    </row>
    <row r="277">
      <c r="A277" s="13" t="n"/>
      <c r="B277" s="14" t="n"/>
      <c r="C277" s="14" t="n"/>
      <c r="D277" s="14" t="n"/>
      <c r="E277" s="14" t="n"/>
      <c r="F277" s="19" t="n"/>
      <c r="G277" s="19" t="n"/>
      <c r="H277" s="19">
        <f>IF(AND(F277="",G277=""),"",N(H276)+N(F277)-N(G277))</f>
        <v/>
      </c>
    </row>
    <row r="278">
      <c r="A278" s="20" t="n"/>
      <c r="B278" s="21" t="n"/>
      <c r="C278" s="21" t="n"/>
      <c r="D278" s="21" t="n"/>
      <c r="E278" s="21" t="n"/>
      <c r="F278" s="26" t="n"/>
      <c r="G278" s="26" t="n"/>
      <c r="H278" s="26">
        <f>IF(AND(F278="",G278=""),"",N(H277)+N(F278)-N(G278))</f>
        <v/>
      </c>
    </row>
    <row r="279">
      <c r="A279" s="13" t="n"/>
      <c r="B279" s="14" t="n"/>
      <c r="C279" s="14" t="n"/>
      <c r="D279" s="14" t="n"/>
      <c r="E279" s="14" t="n"/>
      <c r="F279" s="19" t="n"/>
      <c r="G279" s="19" t="n"/>
      <c r="H279" s="19">
        <f>IF(AND(F279="",G279=""),"",N(H278)+N(F279)-N(G279))</f>
        <v/>
      </c>
    </row>
    <row r="280">
      <c r="A280" s="20" t="n"/>
      <c r="B280" s="21" t="n"/>
      <c r="C280" s="21" t="n"/>
      <c r="D280" s="21" t="n"/>
      <c r="E280" s="21" t="n"/>
      <c r="F280" s="26" t="n"/>
      <c r="G280" s="26" t="n"/>
      <c r="H280" s="26">
        <f>IF(AND(F280="",G280=""),"",N(H279)+N(F280)-N(G280))</f>
        <v/>
      </c>
    </row>
    <row r="281">
      <c r="A281" s="13" t="n"/>
      <c r="B281" s="14" t="n"/>
      <c r="C281" s="14" t="n"/>
      <c r="D281" s="14" t="n"/>
      <c r="E281" s="14" t="n"/>
      <c r="F281" s="19" t="n"/>
      <c r="G281" s="19" t="n"/>
      <c r="H281" s="19">
        <f>IF(AND(F281="",G281=""),"",N(H280)+N(F281)-N(G281))</f>
        <v/>
      </c>
    </row>
    <row r="282">
      <c r="A282" s="20" t="n"/>
      <c r="B282" s="21" t="n"/>
      <c r="C282" s="21" t="n"/>
      <c r="D282" s="21" t="n"/>
      <c r="E282" s="21" t="n"/>
      <c r="F282" s="26" t="n"/>
      <c r="G282" s="26" t="n"/>
      <c r="H282" s="26">
        <f>IF(AND(F282="",G282=""),"",N(H281)+N(F282)-N(G282))</f>
        <v/>
      </c>
    </row>
    <row r="283">
      <c r="A283" s="13" t="n"/>
      <c r="B283" s="14" t="n"/>
      <c r="C283" s="14" t="n"/>
      <c r="D283" s="14" t="n"/>
      <c r="E283" s="14" t="n"/>
      <c r="F283" s="19" t="n"/>
      <c r="G283" s="19" t="n"/>
      <c r="H283" s="19">
        <f>IF(AND(F283="",G283=""),"",N(H282)+N(F283)-N(G283))</f>
        <v/>
      </c>
    </row>
    <row r="284">
      <c r="A284" s="20" t="n"/>
      <c r="B284" s="21" t="n"/>
      <c r="C284" s="21" t="n"/>
      <c r="D284" s="21" t="n"/>
      <c r="E284" s="21" t="n"/>
      <c r="F284" s="26" t="n"/>
      <c r="G284" s="26" t="n"/>
      <c r="H284" s="26">
        <f>IF(AND(F284="",G284=""),"",N(H283)+N(F284)-N(G284))</f>
        <v/>
      </c>
    </row>
    <row r="285">
      <c r="A285" s="13" t="n"/>
      <c r="B285" s="14" t="n"/>
      <c r="C285" s="14" t="n"/>
      <c r="D285" s="14" t="n"/>
      <c r="E285" s="14" t="n"/>
      <c r="F285" s="19" t="n"/>
      <c r="G285" s="19" t="n"/>
      <c r="H285" s="19">
        <f>IF(AND(F285="",G285=""),"",N(H284)+N(F285)-N(G285))</f>
        <v/>
      </c>
    </row>
    <row r="286">
      <c r="A286" s="20" t="n"/>
      <c r="B286" s="21" t="n"/>
      <c r="C286" s="21" t="n"/>
      <c r="D286" s="21" t="n"/>
      <c r="E286" s="21" t="n"/>
      <c r="F286" s="26" t="n"/>
      <c r="G286" s="26" t="n"/>
      <c r="H286" s="26">
        <f>IF(AND(F286="",G286=""),"",N(H285)+N(F286)-N(G286))</f>
        <v/>
      </c>
    </row>
    <row r="287">
      <c r="A287" s="13" t="n"/>
      <c r="B287" s="14" t="n"/>
      <c r="C287" s="14" t="n"/>
      <c r="D287" s="14" t="n"/>
      <c r="E287" s="14" t="n"/>
      <c r="F287" s="19" t="n"/>
      <c r="G287" s="19" t="n"/>
      <c r="H287" s="19">
        <f>IF(AND(F287="",G287=""),"",N(H286)+N(F287)-N(G287))</f>
        <v/>
      </c>
    </row>
    <row r="288">
      <c r="A288" s="20" t="n"/>
      <c r="B288" s="21" t="n"/>
      <c r="C288" s="21" t="n"/>
      <c r="D288" s="21" t="n"/>
      <c r="E288" s="21" t="n"/>
      <c r="F288" s="26" t="n"/>
      <c r="G288" s="26" t="n"/>
      <c r="H288" s="26">
        <f>IF(AND(F288="",G288=""),"",N(H287)+N(F288)-N(G288))</f>
        <v/>
      </c>
    </row>
    <row r="289">
      <c r="A289" s="13" t="n"/>
      <c r="B289" s="14" t="n"/>
      <c r="C289" s="14" t="n"/>
      <c r="D289" s="14" t="n"/>
      <c r="E289" s="14" t="n"/>
      <c r="F289" s="19" t="n"/>
      <c r="G289" s="19" t="n"/>
      <c r="H289" s="19">
        <f>IF(AND(F289="",G289=""),"",N(H288)+N(F289)-N(G289))</f>
        <v/>
      </c>
    </row>
    <row r="290">
      <c r="A290" s="20" t="n"/>
      <c r="B290" s="21" t="n"/>
      <c r="C290" s="21" t="n"/>
      <c r="D290" s="21" t="n"/>
      <c r="E290" s="21" t="n"/>
      <c r="F290" s="26" t="n"/>
      <c r="G290" s="26" t="n"/>
      <c r="H290" s="26">
        <f>IF(AND(F290="",G290=""),"",N(H289)+N(F290)-N(G290))</f>
        <v/>
      </c>
    </row>
    <row r="291">
      <c r="A291" s="13" t="n"/>
      <c r="B291" s="14" t="n"/>
      <c r="C291" s="14" t="n"/>
      <c r="D291" s="14" t="n"/>
      <c r="E291" s="14" t="n"/>
      <c r="F291" s="19" t="n"/>
      <c r="G291" s="19" t="n"/>
      <c r="H291" s="19">
        <f>IF(AND(F291="",G291=""),"",N(H290)+N(F291)-N(G291))</f>
        <v/>
      </c>
    </row>
    <row r="292">
      <c r="A292" s="20" t="n"/>
      <c r="B292" s="21" t="n"/>
      <c r="C292" s="21" t="n"/>
      <c r="D292" s="21" t="n"/>
      <c r="E292" s="21" t="n"/>
      <c r="F292" s="26" t="n"/>
      <c r="G292" s="26" t="n"/>
      <c r="H292" s="26">
        <f>IF(AND(F292="",G292=""),"",N(H291)+N(F292)-N(G292))</f>
        <v/>
      </c>
    </row>
    <row r="293">
      <c r="A293" s="13" t="n"/>
      <c r="B293" s="14" t="n"/>
      <c r="C293" s="14" t="n"/>
      <c r="D293" s="14" t="n"/>
      <c r="E293" s="14" t="n"/>
      <c r="F293" s="19" t="n"/>
      <c r="G293" s="19" t="n"/>
      <c r="H293" s="19">
        <f>IF(AND(F293="",G293=""),"",N(H292)+N(F293)-N(G293))</f>
        <v/>
      </c>
    </row>
    <row r="294">
      <c r="A294" s="20" t="n"/>
      <c r="B294" s="21" t="n"/>
      <c r="C294" s="21" t="n"/>
      <c r="D294" s="21" t="n"/>
      <c r="E294" s="21" t="n"/>
      <c r="F294" s="26" t="n"/>
      <c r="G294" s="26" t="n"/>
      <c r="H294" s="26">
        <f>IF(AND(F294="",G294=""),"",N(H293)+N(F294)-N(G294))</f>
        <v/>
      </c>
    </row>
    <row r="295">
      <c r="A295" s="13" t="n"/>
      <c r="B295" s="14" t="n"/>
      <c r="C295" s="14" t="n"/>
      <c r="D295" s="14" t="n"/>
      <c r="E295" s="14" t="n"/>
      <c r="F295" s="19" t="n"/>
      <c r="G295" s="19" t="n"/>
      <c r="H295" s="19">
        <f>IF(AND(F295="",G295=""),"",N(H294)+N(F295)-N(G295))</f>
        <v/>
      </c>
    </row>
    <row r="296">
      <c r="A296" s="20" t="n"/>
      <c r="B296" s="21" t="n"/>
      <c r="C296" s="21" t="n"/>
      <c r="D296" s="21" t="n"/>
      <c r="E296" s="21" t="n"/>
      <c r="F296" s="26" t="n"/>
      <c r="G296" s="26" t="n"/>
      <c r="H296" s="26">
        <f>IF(AND(F296="",G296=""),"",N(H295)+N(F296)-N(G296))</f>
        <v/>
      </c>
    </row>
    <row r="297">
      <c r="A297" s="13" t="n"/>
      <c r="B297" s="14" t="n"/>
      <c r="C297" s="14" t="n"/>
      <c r="D297" s="14" t="n"/>
      <c r="E297" s="14" t="n"/>
      <c r="F297" s="19" t="n"/>
      <c r="G297" s="19" t="n"/>
      <c r="H297" s="19">
        <f>IF(AND(F297="",G297=""),"",N(H296)+N(F297)-N(G297))</f>
        <v/>
      </c>
    </row>
    <row r="298">
      <c r="A298" s="20" t="n"/>
      <c r="B298" s="21" t="n"/>
      <c r="C298" s="21" t="n"/>
      <c r="D298" s="21" t="n"/>
      <c r="E298" s="21" t="n"/>
      <c r="F298" s="26" t="n"/>
      <c r="G298" s="26" t="n"/>
      <c r="H298" s="26">
        <f>IF(AND(F298="",G298=""),"",N(H297)+N(F298)-N(G298))</f>
        <v/>
      </c>
    </row>
    <row r="299">
      <c r="A299" s="13" t="n"/>
      <c r="B299" s="14" t="n"/>
      <c r="C299" s="14" t="n"/>
      <c r="D299" s="14" t="n"/>
      <c r="E299" s="14" t="n"/>
      <c r="F299" s="19" t="n"/>
      <c r="G299" s="19" t="n"/>
      <c r="H299" s="19">
        <f>IF(AND(F299="",G299=""),"",N(H298)+N(F299)-N(G299))</f>
        <v/>
      </c>
    </row>
    <row r="300">
      <c r="A300" s="20" t="n"/>
      <c r="B300" s="21" t="n"/>
      <c r="C300" s="21" t="n"/>
      <c r="D300" s="21" t="n"/>
      <c r="E300" s="21" t="n"/>
      <c r="F300" s="26" t="n"/>
      <c r="G300" s="26" t="n"/>
      <c r="H300" s="26">
        <f>IF(AND(F300="",G300=""),"",N(H299)+N(F300)-N(G300))</f>
        <v/>
      </c>
    </row>
    <row r="301">
      <c r="A301" s="13" t="n"/>
      <c r="B301" s="14" t="n"/>
      <c r="C301" s="14" t="n"/>
      <c r="D301" s="14" t="n"/>
      <c r="E301" s="14" t="n"/>
      <c r="F301" s="19" t="n"/>
      <c r="G301" s="19" t="n"/>
      <c r="H301" s="19">
        <f>IF(AND(F301="",G301=""),"",N(H300)+N(F301)-N(G301))</f>
        <v/>
      </c>
    </row>
    <row r="302">
      <c r="A302" s="20" t="n"/>
      <c r="B302" s="21" t="n"/>
      <c r="C302" s="21" t="n"/>
      <c r="D302" s="21" t="n"/>
      <c r="E302" s="21" t="n"/>
      <c r="F302" s="26" t="n"/>
      <c r="G302" s="26" t="n"/>
      <c r="H302" s="26">
        <f>IF(AND(F302="",G302=""),"",N(H301)+N(F302)-N(G302))</f>
        <v/>
      </c>
    </row>
  </sheetData>
  <mergeCells count="1">
    <mergeCell ref="A1:H1"/>
  </mergeCells>
  <dataValidations count="2">
    <dataValidation sqref="C3:C302" showDropDown="0" showInputMessage="0" showErrorMessage="0" allowBlank="1" type="list">
      <formula1>"Compra de gado,Venda de gado,Frete,Comissão,Vacina e remédio,Sal e ração,Pasto e diária,Combustível,Imposto e taxa,Outros"</formula1>
    </dataValidation>
    <dataValidation sqref="E3:E302" showDropDown="0" showInputMessage="0" showErrorMessage="0" allowBlank="1" type="list">
      <formula1>"Dinheiro,Pix,Transferência,Cheque,Prazo"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0" customHeight="1">
      <c r="A1" s="1" t="inlineStr">
        <is>
          <t>📖 COMO USAR ESTA PLANILHA</t>
        </is>
      </c>
    </row>
    <row r="3" ht="30" customHeight="1">
      <c r="B3" s="29" t="inlineStr"/>
    </row>
    <row r="4">
      <c r="B4" s="2" t="inlineStr">
        <is>
          <t>O QUE VOCÊ PREENCHE</t>
        </is>
      </c>
    </row>
    <row r="5" ht="30" customHeight="1">
      <c r="B5" s="29" t="inlineStr">
        <is>
          <t>COMPRAS — cada vez que comprar gado. Preencha data, lote, fornecedor, cabeças, peso e o preço da arroba. As arrobas, o valor e o custo total se calculam sozinhos.</t>
        </is>
      </c>
    </row>
    <row r="6" ht="30" customHeight="1">
      <c r="B6" s="29" t="inlineStr">
        <is>
          <t>VENDAS — cada vez que vender. Mesma coisa: o valor líquido já desconta frete e comissão.</t>
        </is>
      </c>
    </row>
    <row r="7" ht="30" customHeight="1">
      <c r="B7" s="29" t="inlineStr">
        <is>
          <t>CAIXA — todo dinheiro que entra e sai, inclusive o que não é gado (vacina, sal, diária, combustível). O saldo vai somando linha por linha.</t>
        </is>
      </c>
    </row>
    <row r="8" ht="30" customHeight="1">
      <c r="B8" s="29" t="inlineStr"/>
    </row>
    <row r="9">
      <c r="B9" s="2" t="inlineStr">
        <is>
          <t>O QUE SE PREENCHE SOZINHO</t>
        </is>
      </c>
    </row>
    <row r="10" ht="30" customHeight="1">
      <c r="B10" s="29" t="inlineStr">
        <is>
          <t>PESAGENS — é aqui que cai o que vem do aplicativo Calculadora de Boi. Você também pode digitar à mão se quiser.</t>
        </is>
      </c>
    </row>
    <row r="11" ht="30" customHeight="1">
      <c r="B11" s="29" t="inlineStr">
        <is>
          <t>LOTES — junta tudo por lote: quando entrou, quando saiu, quantos dias no pasto, quanto engordou, quanto custou, quanto rendeu e o lucro. Só digite o nome do lote na coluna A — o resto vem sozinho das outras abas.</t>
        </is>
      </c>
    </row>
    <row r="12" ht="30" customHeight="1">
      <c r="B12" s="29" t="inlineStr">
        <is>
          <t>PAINEL — o resumo da fazenda. Não mexa, só olhe.</t>
        </is>
      </c>
    </row>
    <row r="13" ht="30" customHeight="1">
      <c r="B13" s="29" t="inlineStr"/>
    </row>
    <row r="14">
      <c r="B14" s="2" t="inlineStr">
        <is>
          <t>HISTÓRICO DE CADA ANIMAL</t>
        </is>
      </c>
    </row>
    <row r="15" ht="30" customHeight="1">
      <c r="B15" s="29" t="inlineStr">
        <is>
          <t>Com a planilha ligada no aplicativo, aparecem mais três abas, montadas sozinhas a partir da PESAGENS: ANIMAIS, HISTÓRICO e CONSULTA.</t>
        </is>
      </c>
    </row>
    <row r="16" ht="30" customHeight="1">
      <c r="B16" s="29" t="inlineStr">
        <is>
          <t>ANIMAIS — um animal por linha, pelo número do brinco: peso na 1ª pesagem, peso atual, quanto ganhou desde a pesagem anterior, ganho total e ganho por dia.</t>
        </is>
      </c>
    </row>
    <row r="17" ht="30" customHeight="1">
      <c r="B17" s="29" t="inlineStr">
        <is>
          <t>HISTÓRICO — todas as pesagens de cada animal, uma embaixo da outra, da mais antiga pra mais nova.</t>
        </is>
      </c>
    </row>
    <row r="18" ht="30" customHeight="1">
      <c r="B18" s="29" t="inlineStr">
        <is>
          <t>CONSULTA — digite o número do brinco na casa amarela e aperte Enter: aparece o resumo e todas as pesagens daquele animal. 010 e 10 são o mesmo brinco.</t>
        </is>
      </c>
    </row>
    <row r="19" ht="30" customHeight="1">
      <c r="B19" s="29" t="inlineStr">
        <is>
          <t>Pesou vários bois juntos? Cada um fica com o peso médio da balançada (peso ÷ cabeças). O peso exato de um animal só sai quando ele é pesado sozinho.</t>
        </is>
      </c>
    </row>
    <row r="20" ht="30" customHeight="1">
      <c r="B20" s="29" t="inlineStr">
        <is>
          <t>Não digite nas abas ANIMAIS e HISTÓRICO: elas são refeitas a cada lote que chega. Corrigiu uma pesagem à mão na PESAGENS? Menu 🐂 Calculadora de Boi → Atualizar histórico dos animais.</t>
        </is>
      </c>
    </row>
    <row r="21" ht="30" customHeight="1">
      <c r="B21" s="29" t="inlineStr"/>
    </row>
    <row r="22">
      <c r="B22" s="2" t="inlineStr">
        <is>
          <t>O SEGREDO É O NOME DO LOTE</t>
        </is>
      </c>
    </row>
    <row r="23" ht="30" customHeight="1">
      <c r="B23" s="29" t="inlineStr">
        <is>
          <t>Use o MESMO nome de lote nas abas COMPRAS, VENDAS, PESAGENS e CAIXA. É por ele que a planilha junta tudo. Um nome simples resolve: 2026-01 BOI, FAZENDA SÃO LUIZ, LOTE 12.</t>
        </is>
      </c>
    </row>
    <row r="24" ht="30" customHeight="1">
      <c r="B24" s="29" t="inlineStr"/>
    </row>
    <row r="25">
      <c r="B25" s="2" t="inlineStr">
        <is>
          <t>RENDIMENTO</t>
        </is>
      </c>
    </row>
    <row r="26" ht="30" customHeight="1">
      <c r="B26" s="29" t="inlineStr">
        <is>
          <t>Vem preenchido com 52%, que é o comum. Se o seu boi rende diferente, mude na linha — cada linha tem o seu.</t>
        </is>
      </c>
    </row>
    <row r="27" ht="30" customHeight="1">
      <c r="B27" s="29" t="inlineStr"/>
    </row>
    <row r="28">
      <c r="B28" s="2" t="inlineStr">
        <is>
          <t>SE ABRIR NO GOOGLE PLANILHAS</t>
        </is>
      </c>
    </row>
    <row r="29" ht="30" customHeight="1">
      <c r="B29" s="29" t="inlineStr">
        <is>
          <t>Funciona igual: suba o arquivo no Google Drive e abra com Google Planilhas. As fórmulas aparecem traduzidas (SOMASE, SE) automaticamente.</t>
        </is>
      </c>
    </row>
    <row r="30" ht="30" customHeight="1">
      <c r="B30" s="29" t="inlineStr"/>
    </row>
    <row r="31">
      <c r="B31" s="30" t="inlineStr">
        <is>
          <t>THIAGO PORTO 704 AGRO — Compra e venda de bovinos · (77) 99922-6268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2026-10-07T16:47:12Z</dcterms:created>
  <dcterms:modified xmlns:dcterms="http://purl.org/dc/terms/" xmlns:xsi="http://www.w3.org/2001/XMLSchema-instance" xsi:type="dcterms:W3CDTF">2026-10-07T16:47:13Z</dcterms:modified>
</cp:coreProperties>
</file>